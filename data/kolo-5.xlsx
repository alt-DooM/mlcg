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75" windowWidth="20730" windowHeight="11760" activeTab="2"/>
  </bookViews>
  <sheets>
    <sheet name="TABELA" sheetId="1" r:id="rId1"/>
    <sheet name="GRUPA I" sheetId="2" r:id="rId2"/>
    <sheet name="GRUPA II" sheetId="3" r:id="rId3"/>
    <sheet name="GRUPA III" sheetId="4" r:id="rId4"/>
    <sheet name="POJEDINACNO" sheetId="5" r:id="rId5"/>
    <sheet name="EKIPNI PLASMAN" sheetId="6" r:id="rId6"/>
  </sheets>
  <definedNames>
    <definedName name="_xlnm._FilterDatabase" localSheetId="4" hidden="1">POJEDINACNO!$I$5:$P$6</definedName>
  </definedNames>
  <calcPr calcId="124519"/>
</workbook>
</file>

<file path=xl/calcChain.xml><?xml version="1.0" encoding="utf-8"?>
<calcChain xmlns="http://schemas.openxmlformats.org/spreadsheetml/2006/main">
  <c r="M33" i="5"/>
  <c r="B33"/>
  <c r="F33"/>
  <c r="B24"/>
  <c r="F24"/>
  <c r="B15"/>
  <c r="F15"/>
  <c r="B12" i="6"/>
  <c r="Q125" i="4"/>
  <c r="N32" i="5" s="1"/>
  <c r="S125" i="4"/>
  <c r="N33" i="5" s="1"/>
  <c r="R92" i="4"/>
  <c r="S94"/>
  <c r="S95"/>
  <c r="S96"/>
  <c r="S97"/>
  <c r="S124" s="1"/>
  <c r="S98"/>
  <c r="S99"/>
  <c r="S100"/>
  <c r="S101"/>
  <c r="S102"/>
  <c r="S103"/>
  <c r="S104"/>
  <c r="S105"/>
  <c r="S106"/>
  <c r="S107"/>
  <c r="S108"/>
  <c r="S109"/>
  <c r="S110"/>
  <c r="S111"/>
  <c r="S112"/>
  <c r="S113"/>
  <c r="S114"/>
  <c r="S115"/>
  <c r="S116"/>
  <c r="S117"/>
  <c r="S118"/>
  <c r="S119"/>
  <c r="S120"/>
  <c r="S121"/>
  <c r="S122"/>
  <c r="S123"/>
  <c r="S126"/>
  <c r="S129"/>
  <c r="R48"/>
  <c r="S50"/>
  <c r="S80" s="1"/>
  <c r="K33" i="5" s="1"/>
  <c r="S51" i="4"/>
  <c r="S52"/>
  <c r="S53"/>
  <c r="S54"/>
  <c r="S55"/>
  <c r="S56"/>
  <c r="S57"/>
  <c r="S58"/>
  <c r="S59"/>
  <c r="S60"/>
  <c r="S61"/>
  <c r="S62"/>
  <c r="S63"/>
  <c r="S64"/>
  <c r="S65"/>
  <c r="S66"/>
  <c r="S67"/>
  <c r="S68"/>
  <c r="S69"/>
  <c r="S70"/>
  <c r="S71"/>
  <c r="S72"/>
  <c r="S73"/>
  <c r="S74"/>
  <c r="S75"/>
  <c r="S76"/>
  <c r="S77"/>
  <c r="S78"/>
  <c r="S79"/>
  <c r="S82"/>
  <c r="S85"/>
  <c r="O37"/>
  <c r="J31" i="5" s="1"/>
  <c r="Q37" i="4"/>
  <c r="J32" i="5" s="1"/>
  <c r="R4" i="4"/>
  <c r="S6"/>
  <c r="S7"/>
  <c r="S8"/>
  <c r="S9"/>
  <c r="S10"/>
  <c r="S11"/>
  <c r="S12"/>
  <c r="S13"/>
  <c r="S14"/>
  <c r="S15"/>
  <c r="S16"/>
  <c r="S17"/>
  <c r="S18"/>
  <c r="S19"/>
  <c r="S20"/>
  <c r="S21"/>
  <c r="S22"/>
  <c r="S23"/>
  <c r="S24"/>
  <c r="S25"/>
  <c r="S26"/>
  <c r="S27"/>
  <c r="S28"/>
  <c r="S29"/>
  <c r="S30"/>
  <c r="S31"/>
  <c r="S32"/>
  <c r="S33"/>
  <c r="S34"/>
  <c r="S35"/>
  <c r="S38"/>
  <c r="S41"/>
  <c r="I126" i="3"/>
  <c r="O126"/>
  <c r="C126"/>
  <c r="R92"/>
  <c r="S94"/>
  <c r="S95"/>
  <c r="S124" s="1"/>
  <c r="M24" i="5" s="1"/>
  <c r="S96" i="3"/>
  <c r="S97"/>
  <c r="S98"/>
  <c r="S99"/>
  <c r="S100"/>
  <c r="S101"/>
  <c r="S102"/>
  <c r="S103"/>
  <c r="S104"/>
  <c r="S105"/>
  <c r="S106"/>
  <c r="S107"/>
  <c r="S108"/>
  <c r="S109"/>
  <c r="S110"/>
  <c r="S111"/>
  <c r="S112"/>
  <c r="S113"/>
  <c r="S114"/>
  <c r="S115"/>
  <c r="S116"/>
  <c r="S117"/>
  <c r="S118"/>
  <c r="S119"/>
  <c r="S120"/>
  <c r="S121"/>
  <c r="S122"/>
  <c r="S123"/>
  <c r="S127"/>
  <c r="S130"/>
  <c r="Q51"/>
  <c r="R48"/>
  <c r="S50"/>
  <c r="S51"/>
  <c r="S52"/>
  <c r="S53"/>
  <c r="S54"/>
  <c r="S55"/>
  <c r="S56"/>
  <c r="S57"/>
  <c r="S58"/>
  <c r="S59"/>
  <c r="S60"/>
  <c r="S61"/>
  <c r="S62"/>
  <c r="S63"/>
  <c r="S64"/>
  <c r="S65"/>
  <c r="S66"/>
  <c r="S67"/>
  <c r="S68"/>
  <c r="S69"/>
  <c r="S70"/>
  <c r="S71"/>
  <c r="S72"/>
  <c r="S73"/>
  <c r="S74"/>
  <c r="S75"/>
  <c r="S76"/>
  <c r="S77"/>
  <c r="S78"/>
  <c r="S79"/>
  <c r="S82"/>
  <c r="S85"/>
  <c r="E37"/>
  <c r="R4"/>
  <c r="S6"/>
  <c r="S7"/>
  <c r="S8"/>
  <c r="S9"/>
  <c r="S10"/>
  <c r="S11"/>
  <c r="S12"/>
  <c r="S13"/>
  <c r="S14"/>
  <c r="S15"/>
  <c r="S16"/>
  <c r="S17"/>
  <c r="S18"/>
  <c r="S19"/>
  <c r="S20"/>
  <c r="S21"/>
  <c r="S22"/>
  <c r="S23"/>
  <c r="S24"/>
  <c r="S25"/>
  <c r="S26"/>
  <c r="S27"/>
  <c r="S28"/>
  <c r="S29"/>
  <c r="S30"/>
  <c r="S31"/>
  <c r="S32"/>
  <c r="S33"/>
  <c r="S34"/>
  <c r="S35"/>
  <c r="S38"/>
  <c r="S41"/>
  <c r="I125" i="2"/>
  <c r="N10" i="5" s="1"/>
  <c r="R92" i="2"/>
  <c r="S94"/>
  <c r="S95"/>
  <c r="S96"/>
  <c r="S97"/>
  <c r="S98"/>
  <c r="S99"/>
  <c r="S100"/>
  <c r="S101"/>
  <c r="S102"/>
  <c r="S103"/>
  <c r="S104"/>
  <c r="S105"/>
  <c r="S106"/>
  <c r="S107"/>
  <c r="S108"/>
  <c r="S109"/>
  <c r="S110"/>
  <c r="S111"/>
  <c r="S112"/>
  <c r="S113"/>
  <c r="S114"/>
  <c r="S115"/>
  <c r="S116"/>
  <c r="S117"/>
  <c r="S118"/>
  <c r="S119"/>
  <c r="S120"/>
  <c r="S121"/>
  <c r="S122"/>
  <c r="S123"/>
  <c r="S126"/>
  <c r="S129"/>
  <c r="I82"/>
  <c r="L10" i="5" s="1"/>
  <c r="R49" i="2"/>
  <c r="S51"/>
  <c r="S52"/>
  <c r="S53"/>
  <c r="S54"/>
  <c r="S55"/>
  <c r="S56"/>
  <c r="S57"/>
  <c r="S58"/>
  <c r="S59"/>
  <c r="S60"/>
  <c r="S61"/>
  <c r="S62"/>
  <c r="S63"/>
  <c r="S64"/>
  <c r="S65"/>
  <c r="S66"/>
  <c r="S67"/>
  <c r="S68"/>
  <c r="S69"/>
  <c r="S70"/>
  <c r="S71"/>
  <c r="S72"/>
  <c r="S73"/>
  <c r="S74"/>
  <c r="S75"/>
  <c r="S76"/>
  <c r="S77"/>
  <c r="S78"/>
  <c r="S79"/>
  <c r="S80"/>
  <c r="S81"/>
  <c r="K15" i="5" s="1"/>
  <c r="S83" i="2"/>
  <c r="S86"/>
  <c r="I37"/>
  <c r="J10" i="5" s="1"/>
  <c r="R4" i="2"/>
  <c r="S6"/>
  <c r="S7"/>
  <c r="S8"/>
  <c r="S9"/>
  <c r="S10"/>
  <c r="S11"/>
  <c r="S12"/>
  <c r="S13"/>
  <c r="S14"/>
  <c r="S15"/>
  <c r="S16"/>
  <c r="S17"/>
  <c r="S18"/>
  <c r="S19"/>
  <c r="S20"/>
  <c r="S21"/>
  <c r="S22"/>
  <c r="S23"/>
  <c r="S24"/>
  <c r="S25"/>
  <c r="S26"/>
  <c r="S27"/>
  <c r="S28"/>
  <c r="S29"/>
  <c r="S30"/>
  <c r="S31"/>
  <c r="S32"/>
  <c r="S33"/>
  <c r="S34"/>
  <c r="S35"/>
  <c r="S38"/>
  <c r="S41"/>
  <c r="B11" i="6"/>
  <c r="B10"/>
  <c r="B9"/>
  <c r="B8"/>
  <c r="B7"/>
  <c r="B6"/>
  <c r="B5"/>
  <c r="B4"/>
  <c r="E129" i="4"/>
  <c r="G129"/>
  <c r="I129"/>
  <c r="K129"/>
  <c r="M129"/>
  <c r="O129"/>
  <c r="Q129"/>
  <c r="C129"/>
  <c r="E126"/>
  <c r="G126"/>
  <c r="I126"/>
  <c r="K126"/>
  <c r="M126"/>
  <c r="O126"/>
  <c r="Q126"/>
  <c r="C126"/>
  <c r="E85"/>
  <c r="G85"/>
  <c r="I85"/>
  <c r="K85"/>
  <c r="M85"/>
  <c r="O85"/>
  <c r="Q85"/>
  <c r="C85"/>
  <c r="E82"/>
  <c r="G82"/>
  <c r="I82"/>
  <c r="K82"/>
  <c r="M82"/>
  <c r="O82"/>
  <c r="Q82"/>
  <c r="C82"/>
  <c r="E41"/>
  <c r="G41"/>
  <c r="I41"/>
  <c r="K41"/>
  <c r="M41"/>
  <c r="O41"/>
  <c r="Q41"/>
  <c r="C41"/>
  <c r="E38"/>
  <c r="G38"/>
  <c r="I38"/>
  <c r="K38"/>
  <c r="M38"/>
  <c r="O38"/>
  <c r="Q38"/>
  <c r="C38"/>
  <c r="E130" i="3"/>
  <c r="G130"/>
  <c r="I130"/>
  <c r="K130"/>
  <c r="M130"/>
  <c r="O130"/>
  <c r="Q130"/>
  <c r="C130"/>
  <c r="E127"/>
  <c r="G127"/>
  <c r="I127"/>
  <c r="K127"/>
  <c r="M127"/>
  <c r="O127"/>
  <c r="Q127"/>
  <c r="C127"/>
  <c r="E85"/>
  <c r="G85"/>
  <c r="I85"/>
  <c r="K85"/>
  <c r="M85"/>
  <c r="O85"/>
  <c r="Q85"/>
  <c r="C85"/>
  <c r="E82"/>
  <c r="G82"/>
  <c r="I82"/>
  <c r="K82"/>
  <c r="M82"/>
  <c r="O82"/>
  <c r="Q82"/>
  <c r="C82"/>
  <c r="E41"/>
  <c r="G41"/>
  <c r="I41"/>
  <c r="K41"/>
  <c r="M41"/>
  <c r="O41"/>
  <c r="Q41"/>
  <c r="C41"/>
  <c r="E38"/>
  <c r="G38"/>
  <c r="I38"/>
  <c r="K38"/>
  <c r="M38"/>
  <c r="O38"/>
  <c r="Q38"/>
  <c r="C38"/>
  <c r="E129" i="2"/>
  <c r="G129"/>
  <c r="I129"/>
  <c r="K129"/>
  <c r="M129"/>
  <c r="O129"/>
  <c r="Q129"/>
  <c r="C129"/>
  <c r="E126"/>
  <c r="G126"/>
  <c r="I126"/>
  <c r="K126"/>
  <c r="M126"/>
  <c r="O126"/>
  <c r="Q126"/>
  <c r="C126"/>
  <c r="E86"/>
  <c r="G86"/>
  <c r="I86"/>
  <c r="K86"/>
  <c r="M86"/>
  <c r="O86"/>
  <c r="Q86"/>
  <c r="E83"/>
  <c r="G83"/>
  <c r="I83"/>
  <c r="K83"/>
  <c r="M83"/>
  <c r="O83"/>
  <c r="Q83"/>
  <c r="C86"/>
  <c r="C83"/>
  <c r="E41"/>
  <c r="G41"/>
  <c r="I41"/>
  <c r="K41"/>
  <c r="M41"/>
  <c r="O41"/>
  <c r="Q41"/>
  <c r="C41"/>
  <c r="E38"/>
  <c r="G38"/>
  <c r="I38"/>
  <c r="K38"/>
  <c r="M38"/>
  <c r="O38"/>
  <c r="Q38"/>
  <c r="C38"/>
  <c r="K6" i="3"/>
  <c r="B10" i="5"/>
  <c r="B9"/>
  <c r="F32"/>
  <c r="F31"/>
  <c r="F30"/>
  <c r="F29"/>
  <c r="F28"/>
  <c r="F27"/>
  <c r="F26"/>
  <c r="F25"/>
  <c r="F23"/>
  <c r="F22"/>
  <c r="F21"/>
  <c r="F20"/>
  <c r="F19"/>
  <c r="F18"/>
  <c r="F17"/>
  <c r="F16"/>
  <c r="F14"/>
  <c r="F13"/>
  <c r="F12"/>
  <c r="F11"/>
  <c r="F10"/>
  <c r="F9"/>
  <c r="F8"/>
  <c r="F7"/>
  <c r="B27"/>
  <c r="B28"/>
  <c r="B29"/>
  <c r="B30"/>
  <c r="B31"/>
  <c r="B32"/>
  <c r="B26"/>
  <c r="B25"/>
  <c r="B23"/>
  <c r="B22"/>
  <c r="B21"/>
  <c r="B20"/>
  <c r="B19"/>
  <c r="B18"/>
  <c r="B17"/>
  <c r="B16"/>
  <c r="B14"/>
  <c r="B13"/>
  <c r="B12"/>
  <c r="B11"/>
  <c r="B8"/>
  <c r="B7"/>
  <c r="P92" i="4"/>
  <c r="N92"/>
  <c r="L92"/>
  <c r="J92"/>
  <c r="H92"/>
  <c r="F92"/>
  <c r="D92"/>
  <c r="B92"/>
  <c r="P48"/>
  <c r="N48"/>
  <c r="L48"/>
  <c r="J48"/>
  <c r="H48"/>
  <c r="F48"/>
  <c r="D48"/>
  <c r="B48"/>
  <c r="P92" i="3"/>
  <c r="N92"/>
  <c r="L92"/>
  <c r="J92"/>
  <c r="H92"/>
  <c r="F92"/>
  <c r="D92"/>
  <c r="B92"/>
  <c r="P48"/>
  <c r="N48"/>
  <c r="L48"/>
  <c r="J48"/>
  <c r="H48"/>
  <c r="F48"/>
  <c r="D48"/>
  <c r="B48"/>
  <c r="P92" i="2"/>
  <c r="N92"/>
  <c r="L92"/>
  <c r="J92"/>
  <c r="H92"/>
  <c r="F92"/>
  <c r="D92"/>
  <c r="B92"/>
  <c r="P49"/>
  <c r="N49"/>
  <c r="L49"/>
  <c r="J49"/>
  <c r="H49"/>
  <c r="F49"/>
  <c r="D49"/>
  <c r="B49"/>
  <c r="B4"/>
  <c r="P4" i="4"/>
  <c r="N4"/>
  <c r="L4"/>
  <c r="J4"/>
  <c r="H4"/>
  <c r="F4"/>
  <c r="D4"/>
  <c r="B4"/>
  <c r="P4" i="3"/>
  <c r="N4"/>
  <c r="L4"/>
  <c r="J4"/>
  <c r="H4"/>
  <c r="F4"/>
  <c r="D4"/>
  <c r="B4"/>
  <c r="P4" i="2"/>
  <c r="N4"/>
  <c r="L4"/>
  <c r="J4"/>
  <c r="H4"/>
  <c r="F4"/>
  <c r="D4"/>
  <c r="Q123" i="4"/>
  <c r="O123"/>
  <c r="M123"/>
  <c r="K123"/>
  <c r="I123"/>
  <c r="G123"/>
  <c r="E123"/>
  <c r="C123"/>
  <c r="Q122"/>
  <c r="O122"/>
  <c r="M122"/>
  <c r="K122"/>
  <c r="I122"/>
  <c r="G122"/>
  <c r="E122"/>
  <c r="C122"/>
  <c r="Q121"/>
  <c r="O121"/>
  <c r="M121"/>
  <c r="K121"/>
  <c r="I121"/>
  <c r="G121"/>
  <c r="E121"/>
  <c r="C121"/>
  <c r="Q120"/>
  <c r="O120"/>
  <c r="M120"/>
  <c r="K120"/>
  <c r="I120"/>
  <c r="G120"/>
  <c r="E120"/>
  <c r="C120"/>
  <c r="Q119"/>
  <c r="O119"/>
  <c r="M119"/>
  <c r="K119"/>
  <c r="I119"/>
  <c r="G119"/>
  <c r="E119"/>
  <c r="C119"/>
  <c r="Q118"/>
  <c r="O118"/>
  <c r="M118"/>
  <c r="K118"/>
  <c r="I118"/>
  <c r="G118"/>
  <c r="E118"/>
  <c r="C118"/>
  <c r="Q117"/>
  <c r="O117"/>
  <c r="M117"/>
  <c r="K117"/>
  <c r="I117"/>
  <c r="G117"/>
  <c r="E117"/>
  <c r="C117"/>
  <c r="Q116"/>
  <c r="O116"/>
  <c r="M116"/>
  <c r="K116"/>
  <c r="I116"/>
  <c r="G116"/>
  <c r="E116"/>
  <c r="C116"/>
  <c r="Q115"/>
  <c r="O115"/>
  <c r="M115"/>
  <c r="K115"/>
  <c r="I115"/>
  <c r="G115"/>
  <c r="E115"/>
  <c r="C115"/>
  <c r="Q114"/>
  <c r="O114"/>
  <c r="M114"/>
  <c r="K114"/>
  <c r="I114"/>
  <c r="G114"/>
  <c r="E114"/>
  <c r="C114"/>
  <c r="Q113"/>
  <c r="O113"/>
  <c r="M113"/>
  <c r="K113"/>
  <c r="I113"/>
  <c r="G113"/>
  <c r="E113"/>
  <c r="C113"/>
  <c r="Q112"/>
  <c r="O112"/>
  <c r="M112"/>
  <c r="K112"/>
  <c r="I112"/>
  <c r="G112"/>
  <c r="E112"/>
  <c r="C112"/>
  <c r="Q111"/>
  <c r="O111"/>
  <c r="M111"/>
  <c r="K111"/>
  <c r="I111"/>
  <c r="G111"/>
  <c r="E111"/>
  <c r="C111"/>
  <c r="Q110"/>
  <c r="O110"/>
  <c r="M110"/>
  <c r="K110"/>
  <c r="I110"/>
  <c r="G110"/>
  <c r="E110"/>
  <c r="C110"/>
  <c r="Q109"/>
  <c r="O109"/>
  <c r="M109"/>
  <c r="K109"/>
  <c r="I109"/>
  <c r="G109"/>
  <c r="E109"/>
  <c r="C109"/>
  <c r="Q108"/>
  <c r="O108"/>
  <c r="M108"/>
  <c r="K108"/>
  <c r="I108"/>
  <c r="G108"/>
  <c r="E108"/>
  <c r="C108"/>
  <c r="Q107"/>
  <c r="O107"/>
  <c r="M107"/>
  <c r="K107"/>
  <c r="I107"/>
  <c r="G107"/>
  <c r="E107"/>
  <c r="C107"/>
  <c r="Q106"/>
  <c r="O106"/>
  <c r="M106"/>
  <c r="K106"/>
  <c r="I106"/>
  <c r="G106"/>
  <c r="E106"/>
  <c r="C106"/>
  <c r="Q105"/>
  <c r="O105"/>
  <c r="M105"/>
  <c r="K105"/>
  <c r="I105"/>
  <c r="G105"/>
  <c r="E105"/>
  <c r="C105"/>
  <c r="Q104"/>
  <c r="O104"/>
  <c r="M104"/>
  <c r="K104"/>
  <c r="I104"/>
  <c r="G104"/>
  <c r="E104"/>
  <c r="C104"/>
  <c r="Q103"/>
  <c r="O103"/>
  <c r="M103"/>
  <c r="K103"/>
  <c r="I103"/>
  <c r="G103"/>
  <c r="E103"/>
  <c r="C103"/>
  <c r="Q102"/>
  <c r="O102"/>
  <c r="M102"/>
  <c r="K102"/>
  <c r="I102"/>
  <c r="G102"/>
  <c r="E102"/>
  <c r="C102"/>
  <c r="Q101"/>
  <c r="O101"/>
  <c r="M101"/>
  <c r="K101"/>
  <c r="I101"/>
  <c r="G101"/>
  <c r="E101"/>
  <c r="C101"/>
  <c r="Q100"/>
  <c r="O100"/>
  <c r="M100"/>
  <c r="K100"/>
  <c r="I100"/>
  <c r="G100"/>
  <c r="E100"/>
  <c r="C100"/>
  <c r="Q99"/>
  <c r="O99"/>
  <c r="M99"/>
  <c r="K99"/>
  <c r="I99"/>
  <c r="G99"/>
  <c r="E99"/>
  <c r="C99"/>
  <c r="Q98"/>
  <c r="O98"/>
  <c r="M98"/>
  <c r="K98"/>
  <c r="I98"/>
  <c r="G98"/>
  <c r="E98"/>
  <c r="C98"/>
  <c r="Q97"/>
  <c r="O97"/>
  <c r="M97"/>
  <c r="K97"/>
  <c r="I97"/>
  <c r="G97"/>
  <c r="E97"/>
  <c r="C97"/>
  <c r="Q96"/>
  <c r="O96"/>
  <c r="M96"/>
  <c r="K96"/>
  <c r="I96"/>
  <c r="G96"/>
  <c r="E96"/>
  <c r="C96"/>
  <c r="Q95"/>
  <c r="O95"/>
  <c r="M95"/>
  <c r="K95"/>
  <c r="I95"/>
  <c r="G95"/>
  <c r="E95"/>
  <c r="C95"/>
  <c r="Q94"/>
  <c r="O94"/>
  <c r="M94"/>
  <c r="K94"/>
  <c r="K124" s="1"/>
  <c r="M29" i="5" s="1"/>
  <c r="I94" i="4"/>
  <c r="I124" s="1"/>
  <c r="M28" i="5" s="1"/>
  <c r="G94" i="4"/>
  <c r="G124" s="1"/>
  <c r="M27" i="5" s="1"/>
  <c r="E94" i="4"/>
  <c r="E124" s="1"/>
  <c r="M26" i="5" s="1"/>
  <c r="C94" i="4"/>
  <c r="C124" s="1"/>
  <c r="M25" i="5" s="1"/>
  <c r="Q79" i="4"/>
  <c r="O79"/>
  <c r="M79"/>
  <c r="K79"/>
  <c r="I79"/>
  <c r="G79"/>
  <c r="E79"/>
  <c r="C79"/>
  <c r="Q78"/>
  <c r="O78"/>
  <c r="M78"/>
  <c r="K78"/>
  <c r="I78"/>
  <c r="G78"/>
  <c r="E78"/>
  <c r="C78"/>
  <c r="Q77"/>
  <c r="O77"/>
  <c r="M77"/>
  <c r="K77"/>
  <c r="I77"/>
  <c r="G77"/>
  <c r="E77"/>
  <c r="C77"/>
  <c r="Q76"/>
  <c r="O76"/>
  <c r="M76"/>
  <c r="K76"/>
  <c r="I76"/>
  <c r="G76"/>
  <c r="E76"/>
  <c r="C76"/>
  <c r="Q75"/>
  <c r="O75"/>
  <c r="M75"/>
  <c r="K75"/>
  <c r="I75"/>
  <c r="G75"/>
  <c r="E75"/>
  <c r="C75"/>
  <c r="Q74"/>
  <c r="O74"/>
  <c r="M74"/>
  <c r="K74"/>
  <c r="I74"/>
  <c r="G74"/>
  <c r="E74"/>
  <c r="C74"/>
  <c r="Q73"/>
  <c r="O73"/>
  <c r="M73"/>
  <c r="K73"/>
  <c r="I73"/>
  <c r="G73"/>
  <c r="E73"/>
  <c r="C73"/>
  <c r="Q72"/>
  <c r="O72"/>
  <c r="M72"/>
  <c r="K72"/>
  <c r="I72"/>
  <c r="G72"/>
  <c r="E72"/>
  <c r="C72"/>
  <c r="Q71"/>
  <c r="O71"/>
  <c r="M71"/>
  <c r="K71"/>
  <c r="I71"/>
  <c r="G71"/>
  <c r="E71"/>
  <c r="C71"/>
  <c r="Q70"/>
  <c r="O70"/>
  <c r="M70"/>
  <c r="K70"/>
  <c r="I70"/>
  <c r="G70"/>
  <c r="E70"/>
  <c r="C70"/>
  <c r="Q69"/>
  <c r="O69"/>
  <c r="M69"/>
  <c r="K69"/>
  <c r="I69"/>
  <c r="G69"/>
  <c r="E69"/>
  <c r="C69"/>
  <c r="Q68"/>
  <c r="O68"/>
  <c r="M68"/>
  <c r="K68"/>
  <c r="I68"/>
  <c r="G68"/>
  <c r="E68"/>
  <c r="C68"/>
  <c r="Q67"/>
  <c r="O67"/>
  <c r="M67"/>
  <c r="K67"/>
  <c r="I67"/>
  <c r="G67"/>
  <c r="E67"/>
  <c r="C67"/>
  <c r="Q66"/>
  <c r="O66"/>
  <c r="M66"/>
  <c r="K66"/>
  <c r="I66"/>
  <c r="G66"/>
  <c r="E66"/>
  <c r="C66"/>
  <c r="Q65"/>
  <c r="O65"/>
  <c r="M65"/>
  <c r="K65"/>
  <c r="I65"/>
  <c r="G65"/>
  <c r="E65"/>
  <c r="C65"/>
  <c r="Q64"/>
  <c r="O64"/>
  <c r="M64"/>
  <c r="K64"/>
  <c r="I64"/>
  <c r="G64"/>
  <c r="E64"/>
  <c r="C64"/>
  <c r="Q63"/>
  <c r="O63"/>
  <c r="M63"/>
  <c r="K63"/>
  <c r="I63"/>
  <c r="G63"/>
  <c r="E63"/>
  <c r="C63"/>
  <c r="Q62"/>
  <c r="O62"/>
  <c r="M62"/>
  <c r="K62"/>
  <c r="I62"/>
  <c r="G62"/>
  <c r="E62"/>
  <c r="C62"/>
  <c r="Q61"/>
  <c r="O61"/>
  <c r="M61"/>
  <c r="K61"/>
  <c r="I61"/>
  <c r="G61"/>
  <c r="E61"/>
  <c r="C61"/>
  <c r="Q60"/>
  <c r="O60"/>
  <c r="M60"/>
  <c r="K60"/>
  <c r="I60"/>
  <c r="G60"/>
  <c r="E60"/>
  <c r="C60"/>
  <c r="Q59"/>
  <c r="O59"/>
  <c r="M59"/>
  <c r="K59"/>
  <c r="I59"/>
  <c r="G59"/>
  <c r="E59"/>
  <c r="C59"/>
  <c r="Q58"/>
  <c r="O58"/>
  <c r="M58"/>
  <c r="K58"/>
  <c r="I58"/>
  <c r="G58"/>
  <c r="E58"/>
  <c r="C58"/>
  <c r="Q57"/>
  <c r="O57"/>
  <c r="M57"/>
  <c r="K57"/>
  <c r="I57"/>
  <c r="G57"/>
  <c r="E57"/>
  <c r="C57"/>
  <c r="Q56"/>
  <c r="O56"/>
  <c r="M56"/>
  <c r="K56"/>
  <c r="I56"/>
  <c r="G56"/>
  <c r="E56"/>
  <c r="C56"/>
  <c r="Q55"/>
  <c r="O55"/>
  <c r="M55"/>
  <c r="K55"/>
  <c r="I55"/>
  <c r="G55"/>
  <c r="E55"/>
  <c r="C55"/>
  <c r="Q54"/>
  <c r="O54"/>
  <c r="M54"/>
  <c r="K54"/>
  <c r="I54"/>
  <c r="G54"/>
  <c r="E54"/>
  <c r="C54"/>
  <c r="Q53"/>
  <c r="O53"/>
  <c r="M53"/>
  <c r="K53"/>
  <c r="I53"/>
  <c r="G53"/>
  <c r="E53"/>
  <c r="C53"/>
  <c r="Q52"/>
  <c r="O52"/>
  <c r="M52"/>
  <c r="K52"/>
  <c r="I52"/>
  <c r="G52"/>
  <c r="E52"/>
  <c r="C52"/>
  <c r="Q51"/>
  <c r="O51"/>
  <c r="M51"/>
  <c r="K51"/>
  <c r="I51"/>
  <c r="G51"/>
  <c r="E51"/>
  <c r="C51"/>
  <c r="Q50"/>
  <c r="O50"/>
  <c r="M50"/>
  <c r="K50"/>
  <c r="K80" s="1"/>
  <c r="K29" i="5" s="1"/>
  <c r="I50" i="4"/>
  <c r="I80" s="1"/>
  <c r="K28" i="5" s="1"/>
  <c r="G50" i="4"/>
  <c r="E50"/>
  <c r="C50"/>
  <c r="C80" s="1"/>
  <c r="K25" i="5" s="1"/>
  <c r="Q35" i="4"/>
  <c r="O35"/>
  <c r="M35"/>
  <c r="K35"/>
  <c r="I35"/>
  <c r="G35"/>
  <c r="E35"/>
  <c r="C35"/>
  <c r="Q34"/>
  <c r="O34"/>
  <c r="M34"/>
  <c r="K34"/>
  <c r="I34"/>
  <c r="G34"/>
  <c r="E34"/>
  <c r="C34"/>
  <c r="Q33"/>
  <c r="O33"/>
  <c r="M33"/>
  <c r="K33"/>
  <c r="I33"/>
  <c r="G33"/>
  <c r="E33"/>
  <c r="C33"/>
  <c r="Q32"/>
  <c r="O32"/>
  <c r="M32"/>
  <c r="K32"/>
  <c r="I32"/>
  <c r="G32"/>
  <c r="E32"/>
  <c r="C32"/>
  <c r="Q31"/>
  <c r="O31"/>
  <c r="M31"/>
  <c r="K31"/>
  <c r="I31"/>
  <c r="G31"/>
  <c r="E31"/>
  <c r="C31"/>
  <c r="Q30"/>
  <c r="O30"/>
  <c r="M30"/>
  <c r="K30"/>
  <c r="I30"/>
  <c r="G30"/>
  <c r="E30"/>
  <c r="C30"/>
  <c r="Q29"/>
  <c r="O29"/>
  <c r="M29"/>
  <c r="K29"/>
  <c r="I29"/>
  <c r="G29"/>
  <c r="E29"/>
  <c r="C29"/>
  <c r="Q28"/>
  <c r="O28"/>
  <c r="M28"/>
  <c r="K28"/>
  <c r="I28"/>
  <c r="G28"/>
  <c r="E28"/>
  <c r="C28"/>
  <c r="Q27"/>
  <c r="O27"/>
  <c r="M27"/>
  <c r="K27"/>
  <c r="I27"/>
  <c r="G27"/>
  <c r="E27"/>
  <c r="C27"/>
  <c r="Q26"/>
  <c r="O26"/>
  <c r="M26"/>
  <c r="K26"/>
  <c r="I26"/>
  <c r="G26"/>
  <c r="E26"/>
  <c r="C26"/>
  <c r="Q25"/>
  <c r="O25"/>
  <c r="M25"/>
  <c r="K25"/>
  <c r="I25"/>
  <c r="G25"/>
  <c r="E25"/>
  <c r="C25"/>
  <c r="Q24"/>
  <c r="O24"/>
  <c r="M24"/>
  <c r="K24"/>
  <c r="I24"/>
  <c r="G24"/>
  <c r="E24"/>
  <c r="C24"/>
  <c r="Q23"/>
  <c r="O23"/>
  <c r="M23"/>
  <c r="K23"/>
  <c r="I23"/>
  <c r="G23"/>
  <c r="E23"/>
  <c r="C23"/>
  <c r="Q22"/>
  <c r="O22"/>
  <c r="M22"/>
  <c r="K22"/>
  <c r="I22"/>
  <c r="G22"/>
  <c r="E22"/>
  <c r="C22"/>
  <c r="Q21"/>
  <c r="O21"/>
  <c r="M21"/>
  <c r="K21"/>
  <c r="I21"/>
  <c r="G21"/>
  <c r="E21"/>
  <c r="C21"/>
  <c r="Q20"/>
  <c r="O20"/>
  <c r="M20"/>
  <c r="K20"/>
  <c r="I20"/>
  <c r="G20"/>
  <c r="E20"/>
  <c r="C20"/>
  <c r="Q19"/>
  <c r="O19"/>
  <c r="M19"/>
  <c r="K19"/>
  <c r="I19"/>
  <c r="G19"/>
  <c r="E19"/>
  <c r="C19"/>
  <c r="Q18"/>
  <c r="O18"/>
  <c r="M18"/>
  <c r="K18"/>
  <c r="I18"/>
  <c r="G18"/>
  <c r="E18"/>
  <c r="C18"/>
  <c r="Q17"/>
  <c r="O17"/>
  <c r="M17"/>
  <c r="K17"/>
  <c r="I17"/>
  <c r="G17"/>
  <c r="E17"/>
  <c r="C17"/>
  <c r="Q16"/>
  <c r="O16"/>
  <c r="M16"/>
  <c r="K16"/>
  <c r="I16"/>
  <c r="G16"/>
  <c r="E16"/>
  <c r="C16"/>
  <c r="Q15"/>
  <c r="O15"/>
  <c r="M15"/>
  <c r="K15"/>
  <c r="I15"/>
  <c r="G15"/>
  <c r="E15"/>
  <c r="C15"/>
  <c r="Q14"/>
  <c r="O14"/>
  <c r="M14"/>
  <c r="K14"/>
  <c r="I14"/>
  <c r="G14"/>
  <c r="E14"/>
  <c r="C14"/>
  <c r="Q13"/>
  <c r="O13"/>
  <c r="M13"/>
  <c r="K13"/>
  <c r="I13"/>
  <c r="G13"/>
  <c r="E13"/>
  <c r="C13"/>
  <c r="Q12"/>
  <c r="O12"/>
  <c r="M12"/>
  <c r="K12"/>
  <c r="I12"/>
  <c r="G12"/>
  <c r="E12"/>
  <c r="C12"/>
  <c r="Q11"/>
  <c r="O11"/>
  <c r="M11"/>
  <c r="K11"/>
  <c r="I11"/>
  <c r="G11"/>
  <c r="E11"/>
  <c r="C11"/>
  <c r="Q10"/>
  <c r="O10"/>
  <c r="M10"/>
  <c r="K10"/>
  <c r="I10"/>
  <c r="G10"/>
  <c r="E10"/>
  <c r="C10"/>
  <c r="Q9"/>
  <c r="O9"/>
  <c r="M9"/>
  <c r="K9"/>
  <c r="I9"/>
  <c r="G9"/>
  <c r="E9"/>
  <c r="C9"/>
  <c r="Q8"/>
  <c r="O8"/>
  <c r="M8"/>
  <c r="K8"/>
  <c r="I8"/>
  <c r="G8"/>
  <c r="E8"/>
  <c r="C8"/>
  <c r="Q7"/>
  <c r="O7"/>
  <c r="M7"/>
  <c r="K7"/>
  <c r="I7"/>
  <c r="G7"/>
  <c r="E7"/>
  <c r="C7"/>
  <c r="Q6"/>
  <c r="Q36" s="1"/>
  <c r="I32" i="5" s="1"/>
  <c r="O6" i="4"/>
  <c r="O36" s="1"/>
  <c r="I31" i="5" s="1"/>
  <c r="M6" i="4"/>
  <c r="K6"/>
  <c r="K36" s="1"/>
  <c r="I29" i="5" s="1"/>
  <c r="I6" i="4"/>
  <c r="G6"/>
  <c r="E6"/>
  <c r="C6"/>
  <c r="Q123" i="3"/>
  <c r="O123"/>
  <c r="M123"/>
  <c r="K123"/>
  <c r="I123"/>
  <c r="G123"/>
  <c r="E123"/>
  <c r="C123"/>
  <c r="Q122"/>
  <c r="O122"/>
  <c r="M122"/>
  <c r="K122"/>
  <c r="I122"/>
  <c r="G122"/>
  <c r="E122"/>
  <c r="C122"/>
  <c r="Q121"/>
  <c r="O121"/>
  <c r="M121"/>
  <c r="K121"/>
  <c r="I121"/>
  <c r="G121"/>
  <c r="E121"/>
  <c r="C121"/>
  <c r="Q120"/>
  <c r="O120"/>
  <c r="M120"/>
  <c r="K120"/>
  <c r="I120"/>
  <c r="G120"/>
  <c r="E120"/>
  <c r="C120"/>
  <c r="Q119"/>
  <c r="O119"/>
  <c r="M119"/>
  <c r="K119"/>
  <c r="I119"/>
  <c r="G119"/>
  <c r="E119"/>
  <c r="C119"/>
  <c r="Q118"/>
  <c r="O118"/>
  <c r="M118"/>
  <c r="K118"/>
  <c r="I118"/>
  <c r="G118"/>
  <c r="E118"/>
  <c r="C118"/>
  <c r="Q117"/>
  <c r="O117"/>
  <c r="M117"/>
  <c r="K117"/>
  <c r="I117"/>
  <c r="G117"/>
  <c r="E117"/>
  <c r="C117"/>
  <c r="Q116"/>
  <c r="O116"/>
  <c r="M116"/>
  <c r="K116"/>
  <c r="I116"/>
  <c r="G116"/>
  <c r="E116"/>
  <c r="C116"/>
  <c r="Q115"/>
  <c r="O115"/>
  <c r="M115"/>
  <c r="K115"/>
  <c r="I115"/>
  <c r="G115"/>
  <c r="E115"/>
  <c r="C115"/>
  <c r="Q114"/>
  <c r="O114"/>
  <c r="M114"/>
  <c r="K114"/>
  <c r="I114"/>
  <c r="G114"/>
  <c r="E114"/>
  <c r="C114"/>
  <c r="Q113"/>
  <c r="O113"/>
  <c r="M113"/>
  <c r="K113"/>
  <c r="I113"/>
  <c r="G113"/>
  <c r="E113"/>
  <c r="C113"/>
  <c r="Q112"/>
  <c r="O112"/>
  <c r="M112"/>
  <c r="K112"/>
  <c r="I112"/>
  <c r="G112"/>
  <c r="E112"/>
  <c r="C112"/>
  <c r="Q111"/>
  <c r="O111"/>
  <c r="M111"/>
  <c r="K111"/>
  <c r="I111"/>
  <c r="G111"/>
  <c r="E111"/>
  <c r="C111"/>
  <c r="Q110"/>
  <c r="O110"/>
  <c r="M110"/>
  <c r="K110"/>
  <c r="I110"/>
  <c r="G110"/>
  <c r="E110"/>
  <c r="C110"/>
  <c r="Q109"/>
  <c r="O109"/>
  <c r="M109"/>
  <c r="K109"/>
  <c r="I109"/>
  <c r="G109"/>
  <c r="E109"/>
  <c r="C109"/>
  <c r="Q108"/>
  <c r="O108"/>
  <c r="M108"/>
  <c r="K108"/>
  <c r="I108"/>
  <c r="G108"/>
  <c r="E108"/>
  <c r="C108"/>
  <c r="Q107"/>
  <c r="O107"/>
  <c r="M107"/>
  <c r="K107"/>
  <c r="I107"/>
  <c r="G107"/>
  <c r="E107"/>
  <c r="C107"/>
  <c r="Q106"/>
  <c r="O106"/>
  <c r="M106"/>
  <c r="K106"/>
  <c r="I106"/>
  <c r="G106"/>
  <c r="E106"/>
  <c r="C106"/>
  <c r="Q105"/>
  <c r="O105"/>
  <c r="M105"/>
  <c r="K105"/>
  <c r="I105"/>
  <c r="G105"/>
  <c r="E105"/>
  <c r="C105"/>
  <c r="Q104"/>
  <c r="O104"/>
  <c r="M104"/>
  <c r="K104"/>
  <c r="I104"/>
  <c r="G104"/>
  <c r="E104"/>
  <c r="C104"/>
  <c r="Q103"/>
  <c r="O103"/>
  <c r="M103"/>
  <c r="K103"/>
  <c r="I103"/>
  <c r="G103"/>
  <c r="E103"/>
  <c r="C103"/>
  <c r="Q102"/>
  <c r="O102"/>
  <c r="M102"/>
  <c r="K102"/>
  <c r="I102"/>
  <c r="G102"/>
  <c r="E102"/>
  <c r="C102"/>
  <c r="Q101"/>
  <c r="O101"/>
  <c r="M101"/>
  <c r="K101"/>
  <c r="I101"/>
  <c r="G101"/>
  <c r="E101"/>
  <c r="C101"/>
  <c r="Q100"/>
  <c r="O100"/>
  <c r="M100"/>
  <c r="K100"/>
  <c r="I100"/>
  <c r="G100"/>
  <c r="E100"/>
  <c r="C100"/>
  <c r="Q99"/>
  <c r="O99"/>
  <c r="M99"/>
  <c r="K99"/>
  <c r="I99"/>
  <c r="G99"/>
  <c r="E99"/>
  <c r="C99"/>
  <c r="Q98"/>
  <c r="O98"/>
  <c r="M98"/>
  <c r="K98"/>
  <c r="I98"/>
  <c r="G98"/>
  <c r="E98"/>
  <c r="C98"/>
  <c r="Q97"/>
  <c r="O97"/>
  <c r="M97"/>
  <c r="K97"/>
  <c r="I97"/>
  <c r="G97"/>
  <c r="E97"/>
  <c r="C97"/>
  <c r="Q96"/>
  <c r="O96"/>
  <c r="M96"/>
  <c r="K96"/>
  <c r="I96"/>
  <c r="G96"/>
  <c r="E96"/>
  <c r="C96"/>
  <c r="Q95"/>
  <c r="O95"/>
  <c r="M95"/>
  <c r="K95"/>
  <c r="I95"/>
  <c r="G95"/>
  <c r="E95"/>
  <c r="C95"/>
  <c r="Q94"/>
  <c r="O94"/>
  <c r="O124" s="1"/>
  <c r="M22" i="5" s="1"/>
  <c r="M94" i="3"/>
  <c r="M124" s="1"/>
  <c r="M21" i="5" s="1"/>
  <c r="K94" i="3"/>
  <c r="I94"/>
  <c r="I124" s="1"/>
  <c r="M19" i="5" s="1"/>
  <c r="G94" i="3"/>
  <c r="G124" s="1"/>
  <c r="M18" i="5" s="1"/>
  <c r="E94" i="3"/>
  <c r="E124" s="1"/>
  <c r="M17" i="5" s="1"/>
  <c r="C94" i="3"/>
  <c r="Q79"/>
  <c r="O79"/>
  <c r="M79"/>
  <c r="K79"/>
  <c r="I79"/>
  <c r="G79"/>
  <c r="E79"/>
  <c r="C79"/>
  <c r="Q78"/>
  <c r="O78"/>
  <c r="M78"/>
  <c r="K78"/>
  <c r="I78"/>
  <c r="G78"/>
  <c r="E78"/>
  <c r="C78"/>
  <c r="Q77"/>
  <c r="O77"/>
  <c r="M77"/>
  <c r="K77"/>
  <c r="I77"/>
  <c r="G77"/>
  <c r="E77"/>
  <c r="C77"/>
  <c r="Q76"/>
  <c r="O76"/>
  <c r="M76"/>
  <c r="K76"/>
  <c r="I76"/>
  <c r="G76"/>
  <c r="E76"/>
  <c r="C76"/>
  <c r="Q75"/>
  <c r="O75"/>
  <c r="M75"/>
  <c r="K75"/>
  <c r="I75"/>
  <c r="G75"/>
  <c r="E75"/>
  <c r="C75"/>
  <c r="Q74"/>
  <c r="O74"/>
  <c r="M74"/>
  <c r="K74"/>
  <c r="I74"/>
  <c r="G74"/>
  <c r="E74"/>
  <c r="C74"/>
  <c r="Q73"/>
  <c r="O73"/>
  <c r="M73"/>
  <c r="K73"/>
  <c r="I73"/>
  <c r="G73"/>
  <c r="E73"/>
  <c r="C73"/>
  <c r="Q72"/>
  <c r="O72"/>
  <c r="M72"/>
  <c r="K72"/>
  <c r="I72"/>
  <c r="G72"/>
  <c r="E72"/>
  <c r="C72"/>
  <c r="Q71"/>
  <c r="O71"/>
  <c r="M71"/>
  <c r="K71"/>
  <c r="I71"/>
  <c r="G71"/>
  <c r="E71"/>
  <c r="C71"/>
  <c r="Q70"/>
  <c r="O70"/>
  <c r="M70"/>
  <c r="K70"/>
  <c r="I70"/>
  <c r="G70"/>
  <c r="E70"/>
  <c r="C70"/>
  <c r="Q69"/>
  <c r="O69"/>
  <c r="M69"/>
  <c r="K69"/>
  <c r="I69"/>
  <c r="G69"/>
  <c r="E69"/>
  <c r="C69"/>
  <c r="Q68"/>
  <c r="O68"/>
  <c r="M68"/>
  <c r="K68"/>
  <c r="I68"/>
  <c r="G68"/>
  <c r="E68"/>
  <c r="C68"/>
  <c r="Q67"/>
  <c r="O67"/>
  <c r="M67"/>
  <c r="K67"/>
  <c r="I67"/>
  <c r="G67"/>
  <c r="E67"/>
  <c r="C67"/>
  <c r="Q66"/>
  <c r="O66"/>
  <c r="M66"/>
  <c r="K66"/>
  <c r="I66"/>
  <c r="G66"/>
  <c r="E66"/>
  <c r="C66"/>
  <c r="Q65"/>
  <c r="O65"/>
  <c r="M65"/>
  <c r="K65"/>
  <c r="I65"/>
  <c r="G65"/>
  <c r="E65"/>
  <c r="C65"/>
  <c r="Q64"/>
  <c r="O64"/>
  <c r="M64"/>
  <c r="K64"/>
  <c r="I64"/>
  <c r="G64"/>
  <c r="E64"/>
  <c r="C64"/>
  <c r="Q63"/>
  <c r="O63"/>
  <c r="M63"/>
  <c r="K63"/>
  <c r="I63"/>
  <c r="G63"/>
  <c r="E63"/>
  <c r="C63"/>
  <c r="Q62"/>
  <c r="O62"/>
  <c r="M62"/>
  <c r="K62"/>
  <c r="I62"/>
  <c r="G62"/>
  <c r="E62"/>
  <c r="C62"/>
  <c r="Q61"/>
  <c r="O61"/>
  <c r="M61"/>
  <c r="K61"/>
  <c r="I61"/>
  <c r="G61"/>
  <c r="E61"/>
  <c r="C61"/>
  <c r="Q60"/>
  <c r="O60"/>
  <c r="M60"/>
  <c r="K60"/>
  <c r="I60"/>
  <c r="G60"/>
  <c r="E60"/>
  <c r="C60"/>
  <c r="Q59"/>
  <c r="O59"/>
  <c r="M59"/>
  <c r="K59"/>
  <c r="I59"/>
  <c r="G59"/>
  <c r="E59"/>
  <c r="C59"/>
  <c r="Q58"/>
  <c r="O58"/>
  <c r="M58"/>
  <c r="K58"/>
  <c r="I58"/>
  <c r="G58"/>
  <c r="E58"/>
  <c r="C58"/>
  <c r="Q57"/>
  <c r="O57"/>
  <c r="M57"/>
  <c r="K57"/>
  <c r="I57"/>
  <c r="G57"/>
  <c r="E57"/>
  <c r="C57"/>
  <c r="Q56"/>
  <c r="O56"/>
  <c r="M56"/>
  <c r="K56"/>
  <c r="I56"/>
  <c r="G56"/>
  <c r="E56"/>
  <c r="C56"/>
  <c r="Q55"/>
  <c r="O55"/>
  <c r="M55"/>
  <c r="K55"/>
  <c r="I55"/>
  <c r="G55"/>
  <c r="E55"/>
  <c r="C55"/>
  <c r="Q54"/>
  <c r="O54"/>
  <c r="M54"/>
  <c r="K54"/>
  <c r="I54"/>
  <c r="G54"/>
  <c r="E54"/>
  <c r="C54"/>
  <c r="Q53"/>
  <c r="O53"/>
  <c r="M53"/>
  <c r="K53"/>
  <c r="I53"/>
  <c r="G53"/>
  <c r="E53"/>
  <c r="C53"/>
  <c r="Q52"/>
  <c r="O52"/>
  <c r="M52"/>
  <c r="K52"/>
  <c r="I52"/>
  <c r="G52"/>
  <c r="E52"/>
  <c r="C52"/>
  <c r="O51"/>
  <c r="M51"/>
  <c r="K51"/>
  <c r="I51"/>
  <c r="G51"/>
  <c r="E51"/>
  <c r="C51"/>
  <c r="Q50"/>
  <c r="O50"/>
  <c r="M50"/>
  <c r="M80" s="1"/>
  <c r="K21" i="5" s="1"/>
  <c r="K50" i="3"/>
  <c r="I50"/>
  <c r="G50"/>
  <c r="E50"/>
  <c r="E80" s="1"/>
  <c r="K17" i="5" s="1"/>
  <c r="C50" i="3"/>
  <c r="Q35"/>
  <c r="O35"/>
  <c r="M35"/>
  <c r="K35"/>
  <c r="I35"/>
  <c r="G35"/>
  <c r="E35"/>
  <c r="C35"/>
  <c r="Q34"/>
  <c r="O34"/>
  <c r="M34"/>
  <c r="K34"/>
  <c r="I34"/>
  <c r="G34"/>
  <c r="E34"/>
  <c r="C34"/>
  <c r="Q33"/>
  <c r="O33"/>
  <c r="M33"/>
  <c r="K33"/>
  <c r="I33"/>
  <c r="G33"/>
  <c r="E33"/>
  <c r="C33"/>
  <c r="Q32"/>
  <c r="O32"/>
  <c r="M32"/>
  <c r="K32"/>
  <c r="I32"/>
  <c r="G32"/>
  <c r="E32"/>
  <c r="C32"/>
  <c r="Q31"/>
  <c r="O31"/>
  <c r="M31"/>
  <c r="K31"/>
  <c r="I31"/>
  <c r="G31"/>
  <c r="E31"/>
  <c r="C31"/>
  <c r="Q30"/>
  <c r="O30"/>
  <c r="M30"/>
  <c r="K30"/>
  <c r="I30"/>
  <c r="G30"/>
  <c r="E30"/>
  <c r="C30"/>
  <c r="Q29"/>
  <c r="O29"/>
  <c r="M29"/>
  <c r="K29"/>
  <c r="I29"/>
  <c r="G29"/>
  <c r="E29"/>
  <c r="C29"/>
  <c r="Q28"/>
  <c r="O28"/>
  <c r="M28"/>
  <c r="K28"/>
  <c r="I28"/>
  <c r="G28"/>
  <c r="E28"/>
  <c r="C28"/>
  <c r="Q27"/>
  <c r="O27"/>
  <c r="M27"/>
  <c r="K27"/>
  <c r="I27"/>
  <c r="G27"/>
  <c r="E27"/>
  <c r="C27"/>
  <c r="Q26"/>
  <c r="O26"/>
  <c r="M26"/>
  <c r="K26"/>
  <c r="I26"/>
  <c r="G26"/>
  <c r="E26"/>
  <c r="C26"/>
  <c r="Q25"/>
  <c r="O25"/>
  <c r="M25"/>
  <c r="K25"/>
  <c r="I25"/>
  <c r="G25"/>
  <c r="E25"/>
  <c r="C25"/>
  <c r="Q24"/>
  <c r="O24"/>
  <c r="M24"/>
  <c r="K24"/>
  <c r="I24"/>
  <c r="G24"/>
  <c r="E24"/>
  <c r="C24"/>
  <c r="Q23"/>
  <c r="O23"/>
  <c r="M23"/>
  <c r="K23"/>
  <c r="I23"/>
  <c r="G23"/>
  <c r="E23"/>
  <c r="C23"/>
  <c r="Q22"/>
  <c r="O22"/>
  <c r="M22"/>
  <c r="K22"/>
  <c r="I22"/>
  <c r="G22"/>
  <c r="E22"/>
  <c r="C22"/>
  <c r="Q21"/>
  <c r="O21"/>
  <c r="M21"/>
  <c r="K21"/>
  <c r="I21"/>
  <c r="G21"/>
  <c r="E21"/>
  <c r="C21"/>
  <c r="Q20"/>
  <c r="O20"/>
  <c r="M20"/>
  <c r="K20"/>
  <c r="I20"/>
  <c r="G20"/>
  <c r="E20"/>
  <c r="C20"/>
  <c r="Q19"/>
  <c r="O19"/>
  <c r="M19"/>
  <c r="K19"/>
  <c r="I19"/>
  <c r="G19"/>
  <c r="E19"/>
  <c r="C19"/>
  <c r="Q18"/>
  <c r="O18"/>
  <c r="M18"/>
  <c r="K18"/>
  <c r="I18"/>
  <c r="G18"/>
  <c r="E18"/>
  <c r="C18"/>
  <c r="Q17"/>
  <c r="O17"/>
  <c r="M17"/>
  <c r="K17"/>
  <c r="I17"/>
  <c r="G17"/>
  <c r="E17"/>
  <c r="C17"/>
  <c r="Q16"/>
  <c r="O16"/>
  <c r="M16"/>
  <c r="K16"/>
  <c r="I16"/>
  <c r="G16"/>
  <c r="E16"/>
  <c r="C16"/>
  <c r="Q15"/>
  <c r="O15"/>
  <c r="M15"/>
  <c r="K15"/>
  <c r="I15"/>
  <c r="G15"/>
  <c r="E15"/>
  <c r="C15"/>
  <c r="Q14"/>
  <c r="O14"/>
  <c r="M14"/>
  <c r="K14"/>
  <c r="I14"/>
  <c r="G14"/>
  <c r="E14"/>
  <c r="C14"/>
  <c r="Q13"/>
  <c r="O13"/>
  <c r="M13"/>
  <c r="K13"/>
  <c r="I13"/>
  <c r="G13"/>
  <c r="E13"/>
  <c r="C13"/>
  <c r="Q12"/>
  <c r="O12"/>
  <c r="M12"/>
  <c r="K12"/>
  <c r="I12"/>
  <c r="G12"/>
  <c r="E12"/>
  <c r="C12"/>
  <c r="Q11"/>
  <c r="O11"/>
  <c r="M11"/>
  <c r="K11"/>
  <c r="I11"/>
  <c r="G11"/>
  <c r="E11"/>
  <c r="C11"/>
  <c r="Q10"/>
  <c r="O10"/>
  <c r="M10"/>
  <c r="K10"/>
  <c r="I10"/>
  <c r="G10"/>
  <c r="E10"/>
  <c r="C10"/>
  <c r="Q9"/>
  <c r="O9"/>
  <c r="M9"/>
  <c r="K9"/>
  <c r="I9"/>
  <c r="G9"/>
  <c r="E9"/>
  <c r="C9"/>
  <c r="Q8"/>
  <c r="O8"/>
  <c r="M8"/>
  <c r="K8"/>
  <c r="I8"/>
  <c r="G8"/>
  <c r="E8"/>
  <c r="C8"/>
  <c r="Q7"/>
  <c r="O7"/>
  <c r="M7"/>
  <c r="K7"/>
  <c r="I7"/>
  <c r="G7"/>
  <c r="E7"/>
  <c r="C7"/>
  <c r="Q6"/>
  <c r="O6"/>
  <c r="M6"/>
  <c r="I6"/>
  <c r="G6"/>
  <c r="E6"/>
  <c r="E36" s="1"/>
  <c r="I17" i="5" s="1"/>
  <c r="C6" i="3"/>
  <c r="Q123" i="2"/>
  <c r="O123"/>
  <c r="M123"/>
  <c r="K123"/>
  <c r="I123"/>
  <c r="G123"/>
  <c r="E123"/>
  <c r="C123"/>
  <c r="Q122"/>
  <c r="O122"/>
  <c r="M122"/>
  <c r="K122"/>
  <c r="I122"/>
  <c r="G122"/>
  <c r="E122"/>
  <c r="C122"/>
  <c r="Q121"/>
  <c r="O121"/>
  <c r="M121"/>
  <c r="K121"/>
  <c r="I121"/>
  <c r="G121"/>
  <c r="E121"/>
  <c r="C121"/>
  <c r="Q120"/>
  <c r="O120"/>
  <c r="M120"/>
  <c r="K120"/>
  <c r="I120"/>
  <c r="G120"/>
  <c r="E120"/>
  <c r="C120"/>
  <c r="Q119"/>
  <c r="O119"/>
  <c r="M119"/>
  <c r="K119"/>
  <c r="I119"/>
  <c r="G119"/>
  <c r="E119"/>
  <c r="C119"/>
  <c r="Q118"/>
  <c r="O118"/>
  <c r="M118"/>
  <c r="K118"/>
  <c r="I118"/>
  <c r="G118"/>
  <c r="E118"/>
  <c r="C118"/>
  <c r="Q117"/>
  <c r="O117"/>
  <c r="M117"/>
  <c r="K117"/>
  <c r="I117"/>
  <c r="G117"/>
  <c r="E117"/>
  <c r="C117"/>
  <c r="Q116"/>
  <c r="O116"/>
  <c r="M116"/>
  <c r="K116"/>
  <c r="I116"/>
  <c r="G116"/>
  <c r="E116"/>
  <c r="C116"/>
  <c r="Q115"/>
  <c r="O115"/>
  <c r="M115"/>
  <c r="K115"/>
  <c r="I115"/>
  <c r="G115"/>
  <c r="E115"/>
  <c r="C115"/>
  <c r="Q114"/>
  <c r="O114"/>
  <c r="M114"/>
  <c r="K114"/>
  <c r="I114"/>
  <c r="G114"/>
  <c r="E114"/>
  <c r="C114"/>
  <c r="Q113"/>
  <c r="O113"/>
  <c r="M113"/>
  <c r="K113"/>
  <c r="I113"/>
  <c r="G113"/>
  <c r="E113"/>
  <c r="C113"/>
  <c r="Q112"/>
  <c r="O112"/>
  <c r="M112"/>
  <c r="K112"/>
  <c r="I112"/>
  <c r="G112"/>
  <c r="E112"/>
  <c r="C112"/>
  <c r="Q111"/>
  <c r="O111"/>
  <c r="M111"/>
  <c r="K111"/>
  <c r="I111"/>
  <c r="G111"/>
  <c r="E111"/>
  <c r="C111"/>
  <c r="Q110"/>
  <c r="O110"/>
  <c r="M110"/>
  <c r="K110"/>
  <c r="I110"/>
  <c r="G110"/>
  <c r="E110"/>
  <c r="C110"/>
  <c r="Q109"/>
  <c r="O109"/>
  <c r="M109"/>
  <c r="K109"/>
  <c r="I109"/>
  <c r="G109"/>
  <c r="E109"/>
  <c r="C109"/>
  <c r="Q108"/>
  <c r="O108"/>
  <c r="M108"/>
  <c r="K108"/>
  <c r="I108"/>
  <c r="G108"/>
  <c r="E108"/>
  <c r="C108"/>
  <c r="Q107"/>
  <c r="O107"/>
  <c r="M107"/>
  <c r="K107"/>
  <c r="I107"/>
  <c r="G107"/>
  <c r="E107"/>
  <c r="C107"/>
  <c r="Q106"/>
  <c r="O106"/>
  <c r="M106"/>
  <c r="K106"/>
  <c r="I106"/>
  <c r="G106"/>
  <c r="E106"/>
  <c r="C106"/>
  <c r="Q105"/>
  <c r="O105"/>
  <c r="M105"/>
  <c r="K105"/>
  <c r="I105"/>
  <c r="G105"/>
  <c r="E105"/>
  <c r="C105"/>
  <c r="Q104"/>
  <c r="O104"/>
  <c r="M104"/>
  <c r="K104"/>
  <c r="I104"/>
  <c r="G104"/>
  <c r="E104"/>
  <c r="C104"/>
  <c r="Q103"/>
  <c r="O103"/>
  <c r="M103"/>
  <c r="K103"/>
  <c r="I103"/>
  <c r="G103"/>
  <c r="E103"/>
  <c r="C103"/>
  <c r="Q102"/>
  <c r="O102"/>
  <c r="M102"/>
  <c r="K102"/>
  <c r="I102"/>
  <c r="G102"/>
  <c r="E102"/>
  <c r="C102"/>
  <c r="Q101"/>
  <c r="O101"/>
  <c r="M101"/>
  <c r="K101"/>
  <c r="I101"/>
  <c r="G101"/>
  <c r="E101"/>
  <c r="C101"/>
  <c r="Q100"/>
  <c r="O100"/>
  <c r="M100"/>
  <c r="K100"/>
  <c r="I100"/>
  <c r="G100"/>
  <c r="E100"/>
  <c r="C100"/>
  <c r="Q99"/>
  <c r="O99"/>
  <c r="M99"/>
  <c r="K99"/>
  <c r="I99"/>
  <c r="G99"/>
  <c r="E99"/>
  <c r="C99"/>
  <c r="Q98"/>
  <c r="O98"/>
  <c r="M98"/>
  <c r="K98"/>
  <c r="I98"/>
  <c r="G98"/>
  <c r="E98"/>
  <c r="C98"/>
  <c r="Q97"/>
  <c r="O97"/>
  <c r="M97"/>
  <c r="K97"/>
  <c r="I97"/>
  <c r="G97"/>
  <c r="E97"/>
  <c r="C97"/>
  <c r="Q96"/>
  <c r="O96"/>
  <c r="M96"/>
  <c r="K96"/>
  <c r="I96"/>
  <c r="G96"/>
  <c r="E96"/>
  <c r="C96"/>
  <c r="Q95"/>
  <c r="O95"/>
  <c r="M95"/>
  <c r="K95"/>
  <c r="I95"/>
  <c r="G95"/>
  <c r="E95"/>
  <c r="C95"/>
  <c r="Q94"/>
  <c r="O94"/>
  <c r="O124" s="1"/>
  <c r="M13" i="5" s="1"/>
  <c r="M94" i="2"/>
  <c r="M124" s="1"/>
  <c r="M12" i="5" s="1"/>
  <c r="K94" i="2"/>
  <c r="K124" s="1"/>
  <c r="M11" i="5" s="1"/>
  <c r="I94" i="2"/>
  <c r="I124" s="1"/>
  <c r="M10" i="5" s="1"/>
  <c r="G94" i="2"/>
  <c r="G124" s="1"/>
  <c r="M9" i="5" s="1"/>
  <c r="E94" i="2"/>
  <c r="E124" s="1"/>
  <c r="M8" i="5" s="1"/>
  <c r="C94" i="2"/>
  <c r="C124" s="1"/>
  <c r="M7" i="5" s="1"/>
  <c r="Q80" i="2"/>
  <c r="O80"/>
  <c r="M80"/>
  <c r="K80"/>
  <c r="I80"/>
  <c r="G80"/>
  <c r="E80"/>
  <c r="C80"/>
  <c r="Q79"/>
  <c r="O79"/>
  <c r="M79"/>
  <c r="K79"/>
  <c r="I79"/>
  <c r="G79"/>
  <c r="E79"/>
  <c r="C79"/>
  <c r="Q78"/>
  <c r="O78"/>
  <c r="M78"/>
  <c r="K78"/>
  <c r="I78"/>
  <c r="G78"/>
  <c r="E78"/>
  <c r="C78"/>
  <c r="Q77"/>
  <c r="O77"/>
  <c r="M77"/>
  <c r="K77"/>
  <c r="I77"/>
  <c r="G77"/>
  <c r="E77"/>
  <c r="C77"/>
  <c r="Q76"/>
  <c r="O76"/>
  <c r="M76"/>
  <c r="K76"/>
  <c r="I76"/>
  <c r="G76"/>
  <c r="E76"/>
  <c r="C76"/>
  <c r="Q75"/>
  <c r="O75"/>
  <c r="M75"/>
  <c r="K75"/>
  <c r="I75"/>
  <c r="G75"/>
  <c r="E75"/>
  <c r="C75"/>
  <c r="Q74"/>
  <c r="O74"/>
  <c r="M74"/>
  <c r="K74"/>
  <c r="I74"/>
  <c r="G74"/>
  <c r="E74"/>
  <c r="C74"/>
  <c r="Q73"/>
  <c r="O73"/>
  <c r="M73"/>
  <c r="K73"/>
  <c r="I73"/>
  <c r="G73"/>
  <c r="E73"/>
  <c r="C73"/>
  <c r="Q72"/>
  <c r="O72"/>
  <c r="M72"/>
  <c r="K72"/>
  <c r="I72"/>
  <c r="G72"/>
  <c r="E72"/>
  <c r="C72"/>
  <c r="Q71"/>
  <c r="O71"/>
  <c r="M71"/>
  <c r="K71"/>
  <c r="I71"/>
  <c r="G71"/>
  <c r="E71"/>
  <c r="C71"/>
  <c r="Q70"/>
  <c r="O70"/>
  <c r="M70"/>
  <c r="K70"/>
  <c r="I70"/>
  <c r="G70"/>
  <c r="E70"/>
  <c r="C70"/>
  <c r="Q69"/>
  <c r="O69"/>
  <c r="M69"/>
  <c r="K69"/>
  <c r="I69"/>
  <c r="G69"/>
  <c r="E69"/>
  <c r="C69"/>
  <c r="Q68"/>
  <c r="O68"/>
  <c r="M68"/>
  <c r="K68"/>
  <c r="I68"/>
  <c r="G68"/>
  <c r="E68"/>
  <c r="C68"/>
  <c r="Q67"/>
  <c r="O67"/>
  <c r="M67"/>
  <c r="K67"/>
  <c r="I67"/>
  <c r="G67"/>
  <c r="E67"/>
  <c r="C67"/>
  <c r="Q66"/>
  <c r="O66"/>
  <c r="M66"/>
  <c r="K66"/>
  <c r="I66"/>
  <c r="G66"/>
  <c r="E66"/>
  <c r="C66"/>
  <c r="Q65"/>
  <c r="O65"/>
  <c r="M65"/>
  <c r="K65"/>
  <c r="I65"/>
  <c r="G65"/>
  <c r="E65"/>
  <c r="C65"/>
  <c r="Q64"/>
  <c r="O64"/>
  <c r="M64"/>
  <c r="K64"/>
  <c r="I64"/>
  <c r="G64"/>
  <c r="E64"/>
  <c r="C64"/>
  <c r="Q63"/>
  <c r="O63"/>
  <c r="M63"/>
  <c r="K63"/>
  <c r="I63"/>
  <c r="G63"/>
  <c r="E63"/>
  <c r="C63"/>
  <c r="Q62"/>
  <c r="O62"/>
  <c r="M62"/>
  <c r="K62"/>
  <c r="I62"/>
  <c r="G62"/>
  <c r="E62"/>
  <c r="C62"/>
  <c r="Q61"/>
  <c r="O61"/>
  <c r="M61"/>
  <c r="K61"/>
  <c r="I61"/>
  <c r="G61"/>
  <c r="E61"/>
  <c r="C61"/>
  <c r="Q60"/>
  <c r="O60"/>
  <c r="M60"/>
  <c r="K60"/>
  <c r="I60"/>
  <c r="G60"/>
  <c r="E60"/>
  <c r="C60"/>
  <c r="Q59"/>
  <c r="O59"/>
  <c r="M59"/>
  <c r="K59"/>
  <c r="I59"/>
  <c r="G59"/>
  <c r="E59"/>
  <c r="C59"/>
  <c r="Q58"/>
  <c r="O58"/>
  <c r="M58"/>
  <c r="K58"/>
  <c r="I58"/>
  <c r="G58"/>
  <c r="E58"/>
  <c r="C58"/>
  <c r="Q57"/>
  <c r="O57"/>
  <c r="M57"/>
  <c r="K57"/>
  <c r="I57"/>
  <c r="G57"/>
  <c r="E57"/>
  <c r="C57"/>
  <c r="Q56"/>
  <c r="O56"/>
  <c r="M56"/>
  <c r="K56"/>
  <c r="I56"/>
  <c r="G56"/>
  <c r="E56"/>
  <c r="C56"/>
  <c r="Q55"/>
  <c r="O55"/>
  <c r="M55"/>
  <c r="K55"/>
  <c r="I55"/>
  <c r="G55"/>
  <c r="E55"/>
  <c r="C55"/>
  <c r="Q54"/>
  <c r="O54"/>
  <c r="M54"/>
  <c r="K54"/>
  <c r="I54"/>
  <c r="G54"/>
  <c r="E54"/>
  <c r="C54"/>
  <c r="Q53"/>
  <c r="O53"/>
  <c r="M53"/>
  <c r="K53"/>
  <c r="I53"/>
  <c r="G53"/>
  <c r="E53"/>
  <c r="C53"/>
  <c r="Q52"/>
  <c r="O52"/>
  <c r="M52"/>
  <c r="K52"/>
  <c r="I52"/>
  <c r="G52"/>
  <c r="E52"/>
  <c r="C52"/>
  <c r="Q51"/>
  <c r="Q81" s="1"/>
  <c r="K14" i="5" s="1"/>
  <c r="O51" i="2"/>
  <c r="O81" s="1"/>
  <c r="K13" i="5" s="1"/>
  <c r="M51" i="2"/>
  <c r="K51"/>
  <c r="K81" s="1"/>
  <c r="K11" i="5" s="1"/>
  <c r="I51" i="2"/>
  <c r="I81" s="1"/>
  <c r="K10" i="5" s="1"/>
  <c r="G51" i="2"/>
  <c r="G81" s="1"/>
  <c r="K9" i="5" s="1"/>
  <c r="E51" i="2"/>
  <c r="E81" s="1"/>
  <c r="K8" i="5" s="1"/>
  <c r="C51" i="2"/>
  <c r="Q32"/>
  <c r="O32"/>
  <c r="M32"/>
  <c r="K32"/>
  <c r="I32"/>
  <c r="G32"/>
  <c r="E32"/>
  <c r="C32"/>
  <c r="Q7"/>
  <c r="Q8"/>
  <c r="Q9"/>
  <c r="Q10"/>
  <c r="Q11"/>
  <c r="Q12"/>
  <c r="Q13"/>
  <c r="Q14"/>
  <c r="Q15"/>
  <c r="Q16"/>
  <c r="Q17"/>
  <c r="Q18"/>
  <c r="Q19"/>
  <c r="Q20"/>
  <c r="Q21"/>
  <c r="Q22"/>
  <c r="Q23"/>
  <c r="Q24"/>
  <c r="Q25"/>
  <c r="Q26"/>
  <c r="Q27"/>
  <c r="Q28"/>
  <c r="Q29"/>
  <c r="Q30"/>
  <c r="Q31"/>
  <c r="Q33"/>
  <c r="Q34"/>
  <c r="Q35"/>
  <c r="Q6"/>
  <c r="O7"/>
  <c r="O8"/>
  <c r="O9"/>
  <c r="O10"/>
  <c r="O11"/>
  <c r="O12"/>
  <c r="O13"/>
  <c r="O14"/>
  <c r="O15"/>
  <c r="O16"/>
  <c r="O17"/>
  <c r="O18"/>
  <c r="O19"/>
  <c r="O20"/>
  <c r="O21"/>
  <c r="O22"/>
  <c r="O23"/>
  <c r="O24"/>
  <c r="O25"/>
  <c r="O26"/>
  <c r="O27"/>
  <c r="O28"/>
  <c r="O29"/>
  <c r="O30"/>
  <c r="O31"/>
  <c r="O33"/>
  <c r="O34"/>
  <c r="O35"/>
  <c r="O6"/>
  <c r="M7"/>
  <c r="M8"/>
  <c r="M9"/>
  <c r="M10"/>
  <c r="M11"/>
  <c r="M12"/>
  <c r="M13"/>
  <c r="M14"/>
  <c r="M15"/>
  <c r="M16"/>
  <c r="M17"/>
  <c r="M18"/>
  <c r="M19"/>
  <c r="M20"/>
  <c r="M21"/>
  <c r="M22"/>
  <c r="M23"/>
  <c r="M24"/>
  <c r="M25"/>
  <c r="M26"/>
  <c r="M27"/>
  <c r="M28"/>
  <c r="M29"/>
  <c r="M30"/>
  <c r="M31"/>
  <c r="M33"/>
  <c r="M34"/>
  <c r="M35"/>
  <c r="M6"/>
  <c r="K7"/>
  <c r="K8"/>
  <c r="K9"/>
  <c r="K10"/>
  <c r="K11"/>
  <c r="K12"/>
  <c r="K13"/>
  <c r="K14"/>
  <c r="K15"/>
  <c r="K16"/>
  <c r="K17"/>
  <c r="K18"/>
  <c r="K19"/>
  <c r="K20"/>
  <c r="K21"/>
  <c r="K22"/>
  <c r="K23"/>
  <c r="K24"/>
  <c r="K25"/>
  <c r="K26"/>
  <c r="K27"/>
  <c r="K28"/>
  <c r="K29"/>
  <c r="K30"/>
  <c r="K31"/>
  <c r="K33"/>
  <c r="K34"/>
  <c r="K35"/>
  <c r="K6"/>
  <c r="I7"/>
  <c r="I8"/>
  <c r="I9"/>
  <c r="I10"/>
  <c r="I11"/>
  <c r="I12"/>
  <c r="I13"/>
  <c r="I14"/>
  <c r="I15"/>
  <c r="I16"/>
  <c r="I17"/>
  <c r="I18"/>
  <c r="I19"/>
  <c r="I20"/>
  <c r="I21"/>
  <c r="I22"/>
  <c r="I23"/>
  <c r="I24"/>
  <c r="I25"/>
  <c r="I26"/>
  <c r="I27"/>
  <c r="I28"/>
  <c r="I29"/>
  <c r="I30"/>
  <c r="I31"/>
  <c r="I33"/>
  <c r="I34"/>
  <c r="I35"/>
  <c r="I6"/>
  <c r="G7"/>
  <c r="G8"/>
  <c r="G9"/>
  <c r="G10"/>
  <c r="G11"/>
  <c r="G12"/>
  <c r="G13"/>
  <c r="G14"/>
  <c r="G15"/>
  <c r="G16"/>
  <c r="G17"/>
  <c r="G18"/>
  <c r="G19"/>
  <c r="G20"/>
  <c r="G21"/>
  <c r="G22"/>
  <c r="G23"/>
  <c r="G24"/>
  <c r="G25"/>
  <c r="G26"/>
  <c r="G27"/>
  <c r="G28"/>
  <c r="G29"/>
  <c r="G30"/>
  <c r="G31"/>
  <c r="G33"/>
  <c r="G34"/>
  <c r="G35"/>
  <c r="G6"/>
  <c r="E7"/>
  <c r="E8"/>
  <c r="E9"/>
  <c r="E10"/>
  <c r="E11"/>
  <c r="E12"/>
  <c r="E13"/>
  <c r="E14"/>
  <c r="E15"/>
  <c r="E16"/>
  <c r="E17"/>
  <c r="E18"/>
  <c r="E19"/>
  <c r="E20"/>
  <c r="E21"/>
  <c r="E22"/>
  <c r="E23"/>
  <c r="E24"/>
  <c r="E25"/>
  <c r="E26"/>
  <c r="E27"/>
  <c r="E28"/>
  <c r="E29"/>
  <c r="E30"/>
  <c r="E31"/>
  <c r="E33"/>
  <c r="E34"/>
  <c r="E35"/>
  <c r="E6"/>
  <c r="C35"/>
  <c r="C7"/>
  <c r="C8"/>
  <c r="C9"/>
  <c r="C10"/>
  <c r="C11"/>
  <c r="C12"/>
  <c r="C13"/>
  <c r="C14"/>
  <c r="C15"/>
  <c r="C16"/>
  <c r="C17"/>
  <c r="C18"/>
  <c r="C19"/>
  <c r="C20"/>
  <c r="C21"/>
  <c r="C22"/>
  <c r="C23"/>
  <c r="C24"/>
  <c r="C25"/>
  <c r="C26"/>
  <c r="C27"/>
  <c r="C28"/>
  <c r="C29"/>
  <c r="C30"/>
  <c r="C31"/>
  <c r="C33"/>
  <c r="C34"/>
  <c r="C6"/>
  <c r="O125" l="1"/>
  <c r="N13" i="5" s="1"/>
  <c r="S124" i="2"/>
  <c r="M15" i="5" s="1"/>
  <c r="K125" i="2"/>
  <c r="M125"/>
  <c r="N12" i="5" s="1"/>
  <c r="C125" i="4"/>
  <c r="N25" i="5" s="1"/>
  <c r="K125" i="4"/>
  <c r="N29" i="5" s="1"/>
  <c r="G125" i="4"/>
  <c r="N27" i="5" s="1"/>
  <c r="G80" i="3"/>
  <c r="K18" i="5" s="1"/>
  <c r="S80" i="3"/>
  <c r="O80"/>
  <c r="K22" i="5" s="1"/>
  <c r="E82" i="2"/>
  <c r="L8" i="5" s="1"/>
  <c r="K81" i="4"/>
  <c r="L29" i="5" s="1"/>
  <c r="S36" i="4"/>
  <c r="I33" i="5" s="1"/>
  <c r="S36" i="3"/>
  <c r="I24" i="5" s="1"/>
  <c r="C17" i="6"/>
  <c r="C36" i="4"/>
  <c r="I25" i="5" s="1"/>
  <c r="O25" s="1"/>
  <c r="G4" i="6" s="1"/>
  <c r="C16"/>
  <c r="E126" i="3"/>
  <c r="N17" i="5" s="1"/>
  <c r="E125" i="4"/>
  <c r="N26" i="5" s="1"/>
  <c r="S36" i="2"/>
  <c r="I15" i="5" s="1"/>
  <c r="O33"/>
  <c r="G12" i="6" s="1"/>
  <c r="O82" i="2"/>
  <c r="L13" i="5" s="1"/>
  <c r="N11"/>
  <c r="M36" i="3"/>
  <c r="M80" i="4"/>
  <c r="I36"/>
  <c r="Q80"/>
  <c r="Q124"/>
  <c r="M32" i="5" s="1"/>
  <c r="O80" i="4"/>
  <c r="O124"/>
  <c r="I125" s="1"/>
  <c r="N28" i="5" s="1"/>
  <c r="E80" i="4"/>
  <c r="M124"/>
  <c r="G36"/>
  <c r="G80"/>
  <c r="E36"/>
  <c r="M36"/>
  <c r="P10" i="5"/>
  <c r="Q124" i="2"/>
  <c r="M81"/>
  <c r="O36"/>
  <c r="G36"/>
  <c r="Q124" i="3"/>
  <c r="C36"/>
  <c r="K36"/>
  <c r="C80"/>
  <c r="C124"/>
  <c r="N16" i="5" s="1"/>
  <c r="K124" i="3"/>
  <c r="Q80"/>
  <c r="I80"/>
  <c r="I36"/>
  <c r="Q36"/>
  <c r="K80"/>
  <c r="N22" i="5"/>
  <c r="J17"/>
  <c r="G36" i="3"/>
  <c r="G37" s="1"/>
  <c r="O36"/>
  <c r="O37" s="1"/>
  <c r="N19" i="5"/>
  <c r="O17"/>
  <c r="E5" i="6" s="1"/>
  <c r="O29" i="5"/>
  <c r="G8" i="6" s="1"/>
  <c r="C81" i="2"/>
  <c r="C82" s="1"/>
  <c r="M36"/>
  <c r="I36"/>
  <c r="I10" i="5" s="1"/>
  <c r="O10" s="1"/>
  <c r="C7" i="6" s="1"/>
  <c r="Q36" i="2"/>
  <c r="E36"/>
  <c r="E37" s="1"/>
  <c r="K36"/>
  <c r="C36"/>
  <c r="O15" i="5" l="1"/>
  <c r="C12" i="6" s="1"/>
  <c r="E125" i="2"/>
  <c r="N8" i="5" s="1"/>
  <c r="G125" i="2"/>
  <c r="N9" i="5" s="1"/>
  <c r="S125" i="2"/>
  <c r="N15" i="5" s="1"/>
  <c r="M14"/>
  <c r="Q125" i="2"/>
  <c r="N14" i="5" s="1"/>
  <c r="C125" i="2"/>
  <c r="N7" i="5" s="1"/>
  <c r="M31"/>
  <c r="O125" i="4"/>
  <c r="N31" i="5" s="1"/>
  <c r="M30"/>
  <c r="M125" i="4"/>
  <c r="N30" i="5" s="1"/>
  <c r="M23"/>
  <c r="Q126" i="3"/>
  <c r="N23" i="5" s="1"/>
  <c r="G126" i="3"/>
  <c r="N18" i="5" s="1"/>
  <c r="S126" i="3"/>
  <c r="N24" i="5" s="1"/>
  <c r="M126" i="3"/>
  <c r="N21" i="5" s="1"/>
  <c r="M20"/>
  <c r="K126" i="3"/>
  <c r="K20" i="5"/>
  <c r="K81" i="3"/>
  <c r="L20" i="5" s="1"/>
  <c r="M81" i="3"/>
  <c r="L21" i="5" s="1"/>
  <c r="K16"/>
  <c r="C81" i="3"/>
  <c r="L16" i="5" s="1"/>
  <c r="E81" i="3"/>
  <c r="L17" i="5" s="1"/>
  <c r="P17" s="1"/>
  <c r="F5" i="6" s="1"/>
  <c r="G81" i="3"/>
  <c r="L18" i="5" s="1"/>
  <c r="S81" i="3"/>
  <c r="L24" i="5" s="1"/>
  <c r="K24"/>
  <c r="O24" s="1"/>
  <c r="E12" i="6" s="1"/>
  <c r="K19" i="5"/>
  <c r="I81" i="3"/>
  <c r="L19" i="5" s="1"/>
  <c r="O81" i="3"/>
  <c r="L22" i="5" s="1"/>
  <c r="G82" i="2"/>
  <c r="L9" i="5" s="1"/>
  <c r="S82" i="2"/>
  <c r="L15" i="5" s="1"/>
  <c r="K12"/>
  <c r="M82" i="2"/>
  <c r="L12" i="5" s="1"/>
  <c r="Q82" i="2"/>
  <c r="L14" i="5" s="1"/>
  <c r="K82" i="2"/>
  <c r="L11" i="5" s="1"/>
  <c r="K27"/>
  <c r="G81" i="4"/>
  <c r="L27" i="5" s="1"/>
  <c r="K30"/>
  <c r="M81" i="4"/>
  <c r="L30" i="5" s="1"/>
  <c r="S81" i="4"/>
  <c r="L33" i="5" s="1"/>
  <c r="K26"/>
  <c r="E81" i="4"/>
  <c r="L26" i="5" s="1"/>
  <c r="O81" i="4"/>
  <c r="K32" i="5"/>
  <c r="Q81" i="4"/>
  <c r="L32" i="5" s="1"/>
  <c r="P32" s="1"/>
  <c r="H11" i="6" s="1"/>
  <c r="I81" i="4"/>
  <c r="L28" i="5" s="1"/>
  <c r="C81" i="4"/>
  <c r="L25" i="5" s="1"/>
  <c r="I30"/>
  <c r="M37" i="4"/>
  <c r="J30" i="5" s="1"/>
  <c r="I26"/>
  <c r="E37" i="4"/>
  <c r="J26" i="5" s="1"/>
  <c r="I28"/>
  <c r="O28" s="1"/>
  <c r="G7" i="6" s="1"/>
  <c r="I37" i="4"/>
  <c r="J28" i="5" s="1"/>
  <c r="I27"/>
  <c r="G37" i="4"/>
  <c r="J27" i="5" s="1"/>
  <c r="P27" s="1"/>
  <c r="H6" i="6" s="1"/>
  <c r="K37" i="4"/>
  <c r="J29" i="5" s="1"/>
  <c r="P29" s="1"/>
  <c r="H8" i="6" s="1"/>
  <c r="S37" i="4"/>
  <c r="J33" i="5" s="1"/>
  <c r="P33" s="1"/>
  <c r="H12" i="6" s="1"/>
  <c r="S37" i="3"/>
  <c r="J24" i="5" s="1"/>
  <c r="I21"/>
  <c r="O21" s="1"/>
  <c r="E9" i="6" s="1"/>
  <c r="M37" i="3"/>
  <c r="I20" i="5"/>
  <c r="K37" i="3"/>
  <c r="J20" i="5" s="1"/>
  <c r="I23"/>
  <c r="Q37" i="3"/>
  <c r="J23" i="5" s="1"/>
  <c r="I19"/>
  <c r="I37" i="3"/>
  <c r="J19" i="5" s="1"/>
  <c r="I11"/>
  <c r="O11" s="1"/>
  <c r="C8" i="6" s="1"/>
  <c r="K37" i="2"/>
  <c r="J11" i="5" s="1"/>
  <c r="I12"/>
  <c r="M37" i="2"/>
  <c r="J12" i="5" s="1"/>
  <c r="C37" i="4"/>
  <c r="J25" i="5" s="1"/>
  <c r="C37" i="2"/>
  <c r="J7" i="5" s="1"/>
  <c r="D7" i="6"/>
  <c r="I16" i="5"/>
  <c r="C37" i="3"/>
  <c r="J16" i="5" s="1"/>
  <c r="K23"/>
  <c r="O23" s="1"/>
  <c r="E11" i="6" s="1"/>
  <c r="Q81" i="3"/>
  <c r="L23" i="5" s="1"/>
  <c r="I9"/>
  <c r="O9" s="1"/>
  <c r="C6" i="6" s="1"/>
  <c r="G37" i="2"/>
  <c r="J9" i="5" s="1"/>
  <c r="P9" s="1"/>
  <c r="I13"/>
  <c r="O13" s="1"/>
  <c r="C10" i="6" s="1"/>
  <c r="O37" i="2"/>
  <c r="J13" i="5" s="1"/>
  <c r="P13" s="1"/>
  <c r="S37" i="2"/>
  <c r="J15" i="5" s="1"/>
  <c r="I14"/>
  <c r="O14" s="1"/>
  <c r="C11" i="6" s="1"/>
  <c r="Q37" i="2"/>
  <c r="J14" i="5" s="1"/>
  <c r="O32"/>
  <c r="G11" i="6" s="1"/>
  <c r="K31" i="5"/>
  <c r="O31" s="1"/>
  <c r="G10" i="6" s="1"/>
  <c r="L31" i="5"/>
  <c r="I8"/>
  <c r="O8" s="1"/>
  <c r="C5" i="6" s="1"/>
  <c r="J8" i="5"/>
  <c r="P8" s="1"/>
  <c r="J21"/>
  <c r="P21" s="1"/>
  <c r="F9" i="6" s="1"/>
  <c r="K7" i="5"/>
  <c r="L7"/>
  <c r="O30"/>
  <c r="G9" i="6" s="1"/>
  <c r="O26" i="5"/>
  <c r="G5" i="6" s="1"/>
  <c r="O27" i="5"/>
  <c r="G6" i="6" s="1"/>
  <c r="O12" i="5"/>
  <c r="C9" i="6" s="1"/>
  <c r="I7" i="5"/>
  <c r="O20"/>
  <c r="E8" i="6" s="1"/>
  <c r="N20" i="5"/>
  <c r="M16"/>
  <c r="O19"/>
  <c r="E7" i="6" s="1"/>
  <c r="I22" i="5"/>
  <c r="O22" s="1"/>
  <c r="E10" i="6" s="1"/>
  <c r="J22" i="5"/>
  <c r="I18"/>
  <c r="O18" s="1"/>
  <c r="E6" i="6" s="1"/>
  <c r="J18" i="5"/>
  <c r="P18" s="1"/>
  <c r="F6" i="6" s="1"/>
  <c r="P14" i="5" l="1"/>
  <c r="D11" i="6" s="1"/>
  <c r="P31" i="5"/>
  <c r="H10" i="6" s="1"/>
  <c r="P30" i="5"/>
  <c r="H9" i="6" s="1"/>
  <c r="P24" i="5"/>
  <c r="F12" i="6" s="1"/>
  <c r="P16" i="5"/>
  <c r="F4" i="6" s="1"/>
  <c r="P19" i="5"/>
  <c r="F7" i="6" s="1"/>
  <c r="P22" i="5"/>
  <c r="F10" i="6" s="1"/>
  <c r="P15" i="5"/>
  <c r="D12" i="6" s="1"/>
  <c r="P12" i="5"/>
  <c r="D9" i="6" s="1"/>
  <c r="J9" s="1"/>
  <c r="P11" i="5"/>
  <c r="D8" i="6" s="1"/>
  <c r="I8"/>
  <c r="P28" i="5"/>
  <c r="H7" i="6" s="1"/>
  <c r="P26" i="5"/>
  <c r="H5" i="6" s="1"/>
  <c r="P25" i="5"/>
  <c r="H4" i="6" s="1"/>
  <c r="I7"/>
  <c r="J7"/>
  <c r="D5"/>
  <c r="J5" s="1"/>
  <c r="D10"/>
  <c r="D6"/>
  <c r="J6" s="1"/>
  <c r="O7" i="5"/>
  <c r="C4" i="6" s="1"/>
  <c r="O16" i="5"/>
  <c r="E4" i="6" s="1"/>
  <c r="I12"/>
  <c r="P20" i="5"/>
  <c r="F8" i="6" s="1"/>
  <c r="P23" i="5"/>
  <c r="F11" i="6" s="1"/>
  <c r="I11"/>
  <c r="I6"/>
  <c r="I10"/>
  <c r="I9"/>
  <c r="I5"/>
  <c r="P7" i="5"/>
  <c r="J12" i="6" l="1"/>
  <c r="J8"/>
  <c r="J10"/>
  <c r="Q15" i="5"/>
  <c r="Q9"/>
  <c r="Q16"/>
  <c r="Q18"/>
  <c r="Q20"/>
  <c r="Q22"/>
  <c r="Q24"/>
  <c r="Q26"/>
  <c r="Q28"/>
  <c r="Q30"/>
  <c r="Q32"/>
  <c r="Q7"/>
  <c r="Q17"/>
  <c r="Q19"/>
  <c r="Q21"/>
  <c r="Q23"/>
  <c r="Q25"/>
  <c r="Q27"/>
  <c r="Q29"/>
  <c r="Q31"/>
  <c r="Q33"/>
  <c r="Q10"/>
  <c r="Q11"/>
  <c r="Q12"/>
  <c r="Q13"/>
  <c r="Q14"/>
  <c r="Q8"/>
  <c r="J11" i="6"/>
  <c r="D4"/>
  <c r="J4" s="1"/>
  <c r="I4"/>
  <c r="K4" l="1"/>
  <c r="K7"/>
  <c r="K11"/>
  <c r="K6"/>
  <c r="K5"/>
  <c r="K10"/>
  <c r="K8"/>
  <c r="K12"/>
  <c r="K9"/>
</calcChain>
</file>

<file path=xl/sharedStrings.xml><?xml version="1.0" encoding="utf-8"?>
<sst xmlns="http://schemas.openxmlformats.org/spreadsheetml/2006/main" count="667" uniqueCount="88">
  <si>
    <t>SAVEZ SPORTSKO RIBOLOVNIH ORGANIZACIJA CRNE GORE</t>
  </si>
  <si>
    <t>Disciplina: Mušičarenje</t>
  </si>
  <si>
    <t>TABELA ŽRIJEBA</t>
  </si>
  <si>
    <t>ŠIFRA EKIPE</t>
  </si>
  <si>
    <t>NAZIV KLUBA</t>
  </si>
  <si>
    <t>GRUPA I</t>
  </si>
  <si>
    <t>GRUPA II</t>
  </si>
  <si>
    <t>GRUPA III</t>
  </si>
  <si>
    <t>Ime i prezime takmičara</t>
  </si>
  <si>
    <t>GRUPA I                                          PRVA SESIJA</t>
  </si>
  <si>
    <t>Ime i Prezime</t>
  </si>
  <si>
    <t>UKUPNO POENA</t>
  </si>
  <si>
    <t>dužina-cm</t>
  </si>
  <si>
    <t>POENI</t>
  </si>
  <si>
    <t>PLASMAN u ovoj sesiji</t>
  </si>
  <si>
    <t>Redni broj</t>
  </si>
  <si>
    <t>GRUPA I                                          DRUGA SESIJA</t>
  </si>
  <si>
    <t>GRUPA I                                          TREĆA SESIJA</t>
  </si>
  <si>
    <t>GRUPA II                                          PRVA SESIJA</t>
  </si>
  <si>
    <t>GRUPA III                                          PRVA SESIJA</t>
  </si>
  <si>
    <t>GRUPA III                                          TREĆA SESIJA</t>
  </si>
  <si>
    <t>GRUPA III                                          DRUGA SESIJA</t>
  </si>
  <si>
    <t>GRUPA II                                          TREĆA SESIJA</t>
  </si>
  <si>
    <t>GRUPA II                                          DRUGA SESIJA</t>
  </si>
  <si>
    <t>IME I PREZIME</t>
  </si>
  <si>
    <t>UKUPAN PLASMAN</t>
  </si>
  <si>
    <t>Poena I sesija</t>
  </si>
  <si>
    <t>Poena II sesija</t>
  </si>
  <si>
    <t>Poena III sesija</t>
  </si>
  <si>
    <t>UKUPNO RIBA</t>
  </si>
  <si>
    <t>NAJDUŽA RIBA</t>
  </si>
  <si>
    <t>IME KLUBA</t>
  </si>
  <si>
    <t>TAKMIČAR GRUPA I UKUPAN PLASMAN</t>
  </si>
  <si>
    <t>TAKMIČAR GRUPA II UKUPAN PLASMAN</t>
  </si>
  <si>
    <t>TAKMIČAR GRUPA III UKUPAN PLASMAN</t>
  </si>
  <si>
    <t>TAKMIČAR GRUPA I UKUPNO POENA</t>
  </si>
  <si>
    <t>TAKMIČAR GRUPA II UKUPNO POENA</t>
  </si>
  <si>
    <t>TAKMIČAR GRUPA III UKUPNO POENA</t>
  </si>
  <si>
    <t xml:space="preserve">MUŠIČARSKA LIGA CRNE GORE - EKIPNI REZULTATI </t>
  </si>
  <si>
    <t>MUŠIČARSKA LIGA CRNE GORE                           UKUPAN PLASMAN - PRVO KOLO</t>
  </si>
  <si>
    <t>ZBIR SEKTORSKIH PLASMANA</t>
  </si>
  <si>
    <t>Sektorski Plasman</t>
  </si>
  <si>
    <t>SESIJA I</t>
  </si>
  <si>
    <t>SESIJA II</t>
  </si>
  <si>
    <t>SESIJA III</t>
  </si>
  <si>
    <t>S T A T I S T I K A</t>
  </si>
  <si>
    <t>UKUPNO ULOVLJENIH RIBA U KOLU</t>
  </si>
  <si>
    <t>NAJDUŽA IZMJERENA RIBA KOLA</t>
  </si>
  <si>
    <t>UKUPNO</t>
  </si>
  <si>
    <t>Datum: 27. 09. 2026. godine</t>
  </si>
  <si>
    <t>Mjesto održavanja: Rijeka Tara, Mojkovac</t>
  </si>
  <si>
    <t>Kolo: 5.</t>
  </si>
  <si>
    <t>SRK TARA - MOJKOVAC</t>
  </si>
  <si>
    <t>BOJAN GOVEDARICA</t>
  </si>
  <si>
    <t>BOGDAN GOVEDARICA</t>
  </si>
  <si>
    <t>SAVO RAIČEVIĆ</t>
  </si>
  <si>
    <t>SRK GORŠTAK - KOLAŠIN</t>
  </si>
  <si>
    <t>VLATKO PEKOVIĆ</t>
  </si>
  <si>
    <t>MILJAN ANĐIĆ</t>
  </si>
  <si>
    <t>NIKOLA TREBJEŠANIN</t>
  </si>
  <si>
    <t>SRK LIM - BERANE</t>
  </si>
  <si>
    <t>BOŠKO VULEVIĆ</t>
  </si>
  <si>
    <t>RADULE MIĆOVIĆ</t>
  </si>
  <si>
    <t>MILUN ĐUROVIĆ</t>
  </si>
  <si>
    <t>SRK PLAVSKO JEZERO</t>
  </si>
  <si>
    <t>ORHAN BAŠIĆ</t>
  </si>
  <si>
    <t>OMAR BAŠIĆ</t>
  </si>
  <si>
    <t>DAMIR CANOVIĆ</t>
  </si>
  <si>
    <t>SRFFK RAVNJAK - MOJKOVAC</t>
  </si>
  <si>
    <t>MILAN FUŠTIĆ</t>
  </si>
  <si>
    <t>BALŠA FUŠTIĆ</t>
  </si>
  <si>
    <t>ALEKSANDAR GAŠEVIĆ</t>
  </si>
  <si>
    <t>SRFFK MANIRO - KOLAŠIN</t>
  </si>
  <si>
    <t>RADOVAN KRKOVIĆ</t>
  </si>
  <si>
    <t>GORAN OBRENOVIĆ</t>
  </si>
  <si>
    <t>BOGDAN MARKOVIĆ</t>
  </si>
  <si>
    <t>SRK VODENE LISICE - PODGORICA</t>
  </si>
  <si>
    <t>NIKOLA ĐALOVIĆ</t>
  </si>
  <si>
    <t>PETAR OBRADOVIĆ</t>
  </si>
  <si>
    <t>MARKO BAKIĆ</t>
  </si>
  <si>
    <t>SRK LIPLJEN - PLJEVLJA</t>
  </si>
  <si>
    <t>KEMAL AJANOVIĆ</t>
  </si>
  <si>
    <t>MEHMED DŽIDIĆ</t>
  </si>
  <si>
    <t>MUMIN HEKALO</t>
  </si>
  <si>
    <t>SRK KOLAŠIN</t>
  </si>
  <si>
    <t>NIKOLA POPOVIĆ</t>
  </si>
  <si>
    <t>ARSO JEREMIĆ</t>
  </si>
  <si>
    <t>IVICA RAJKOVIĆ</t>
  </si>
</sst>
</file>

<file path=xl/styles.xml><?xml version="1.0" encoding="utf-8"?>
<styleSheet xmlns="http://schemas.openxmlformats.org/spreadsheetml/2006/main">
  <fonts count="22">
    <font>
      <sz val="11"/>
      <color theme="1"/>
      <name val="Calibri"/>
      <family val="2"/>
      <charset val="238"/>
      <scheme val="minor"/>
    </font>
    <font>
      <sz val="14"/>
      <color theme="1"/>
      <name val="Calibri"/>
      <family val="2"/>
      <charset val="238"/>
      <scheme val="minor"/>
    </font>
    <font>
      <sz val="14"/>
      <color theme="1"/>
      <name val="Bahnschrift Condensed"/>
      <family val="2"/>
    </font>
    <font>
      <sz val="11"/>
      <color theme="1"/>
      <name val="Calibri"/>
      <family val="2"/>
      <scheme val="minor"/>
    </font>
    <font>
      <sz val="11"/>
      <color theme="1"/>
      <name val="Bahnschrift Condensed"/>
      <family val="2"/>
    </font>
    <font>
      <sz val="12"/>
      <color theme="1"/>
      <name val="Bahnschrift Condensed"/>
      <family val="2"/>
    </font>
    <font>
      <sz val="10"/>
      <color theme="1"/>
      <name val="Bahnschrift Condensed"/>
      <family val="2"/>
    </font>
    <font>
      <sz val="18"/>
      <color theme="1"/>
      <name val="Bahnschrift Condensed"/>
      <family val="2"/>
    </font>
    <font>
      <sz val="11"/>
      <color theme="1"/>
      <name val="Calibri"/>
      <family val="2"/>
      <charset val="238"/>
      <scheme val="minor"/>
    </font>
    <font>
      <sz val="14"/>
      <color theme="1"/>
      <name val="Times New Roman"/>
      <family val="1"/>
    </font>
    <font>
      <sz val="18"/>
      <color theme="1"/>
      <name val="Times New Roman"/>
      <family val="1"/>
    </font>
    <font>
      <sz val="16"/>
      <color theme="1"/>
      <name val="Times New Roman"/>
      <family val="1"/>
    </font>
    <font>
      <sz val="11"/>
      <color theme="1"/>
      <name val="Times New Roman"/>
      <family val="1"/>
    </font>
    <font>
      <sz val="12"/>
      <color theme="1"/>
      <name val="Times New Roman"/>
      <family val="1"/>
    </font>
    <font>
      <sz val="20"/>
      <color theme="1"/>
      <name val="Times New Roman"/>
      <family val="1"/>
    </font>
    <font>
      <sz val="20"/>
      <color theme="2" tint="-0.749992370372631"/>
      <name val="Times New Roman"/>
      <family val="1"/>
    </font>
    <font>
      <sz val="14"/>
      <name val="Times New Roman"/>
      <family val="1"/>
    </font>
    <font>
      <sz val="16"/>
      <name val="Times New Roman"/>
      <family val="1"/>
    </font>
    <font>
      <b/>
      <sz val="11"/>
      <color theme="1"/>
      <name val="Times New Roman"/>
      <family val="1"/>
    </font>
    <font>
      <b/>
      <sz val="14"/>
      <color theme="1"/>
      <name val="Times New Roman"/>
      <family val="1"/>
    </font>
    <font>
      <b/>
      <sz val="20"/>
      <color theme="1"/>
      <name val="Times New Roman"/>
      <family val="1"/>
    </font>
    <font>
      <b/>
      <sz val="24"/>
      <color theme="1"/>
      <name val="Times New Roman"/>
      <family val="1"/>
    </font>
  </fonts>
  <fills count="7">
    <fill>
      <patternFill patternType="none"/>
    </fill>
    <fill>
      <patternFill patternType="gray125"/>
    </fill>
    <fill>
      <patternFill patternType="solid">
        <fgColor theme="2" tint="-9.9978637043366805E-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medium">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bottom style="thin">
        <color indexed="64"/>
      </bottom>
      <diagonal/>
    </border>
    <border>
      <left/>
      <right style="medium">
        <color indexed="64"/>
      </right>
      <top/>
      <bottom style="thin">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209">
    <xf numFmtId="0" fontId="0" fillId="0" borderId="0" xfId="0"/>
    <xf numFmtId="0" fontId="0" fillId="0" borderId="0" xfId="0" applyBorder="1" applyAlignment="1">
      <alignment horizontal="center"/>
    </xf>
    <xf numFmtId="0" fontId="0" fillId="0" borderId="0" xfId="0" applyBorder="1" applyAlignment="1"/>
    <xf numFmtId="0" fontId="3" fillId="0" borderId="0" xfId="0" applyFont="1" applyBorder="1" applyAlignment="1">
      <alignment horizontal="center" vertical="center"/>
    </xf>
    <xf numFmtId="0" fontId="4" fillId="0" borderId="0" xfId="0" applyFont="1" applyBorder="1" applyAlignment="1">
      <alignment horizontal="center" vertical="center"/>
    </xf>
    <xf numFmtId="0" fontId="0" fillId="0" borderId="0" xfId="0" applyBorder="1"/>
    <xf numFmtId="0" fontId="4" fillId="0" borderId="0" xfId="0" applyFont="1" applyBorder="1" applyAlignment="1">
      <alignment horizontal="center" vertical="center"/>
    </xf>
    <xf numFmtId="0" fontId="4" fillId="0" borderId="0" xfId="0" applyFont="1" applyBorder="1" applyAlignment="1">
      <alignment horizontal="center" vertical="center" wrapText="1"/>
    </xf>
    <xf numFmtId="0" fontId="4" fillId="0" borderId="0" xfId="0" applyFont="1" applyBorder="1" applyAlignment="1">
      <alignment vertical="center"/>
    </xf>
    <xf numFmtId="0" fontId="4" fillId="0" borderId="0" xfId="0" applyFont="1" applyBorder="1" applyAlignment="1">
      <alignment horizontal="center" vertical="center"/>
    </xf>
    <xf numFmtId="0" fontId="5" fillId="0" borderId="0" xfId="0" applyFont="1" applyBorder="1" applyAlignment="1">
      <alignment horizontal="center"/>
    </xf>
    <xf numFmtId="0" fontId="5" fillId="0" borderId="0" xfId="0" applyFont="1" applyBorder="1" applyAlignment="1">
      <alignment horizontal="center" vertical="center" wrapText="1"/>
    </xf>
    <xf numFmtId="0" fontId="5" fillId="0" borderId="0" xfId="0" applyFont="1" applyBorder="1" applyAlignment="1">
      <alignment horizontal="center" vertical="center"/>
    </xf>
    <xf numFmtId="0" fontId="4" fillId="0" borderId="0" xfId="0" applyFont="1" applyBorder="1"/>
    <xf numFmtId="0" fontId="12" fillId="0" borderId="0" xfId="0" applyFont="1"/>
    <xf numFmtId="0" fontId="13" fillId="0" borderId="0" xfId="0" applyFont="1" applyBorder="1" applyAlignment="1">
      <alignment horizontal="center"/>
    </xf>
    <xf numFmtId="0" fontId="12" fillId="0" borderId="0" xfId="0" applyFont="1" applyBorder="1" applyAlignment="1"/>
    <xf numFmtId="0" fontId="12" fillId="0" borderId="0" xfId="0" applyFont="1" applyBorder="1" applyAlignment="1">
      <alignment horizontal="center" vertical="center"/>
    </xf>
    <xf numFmtId="0" fontId="12" fillId="0" borderId="0" xfId="0" applyFont="1" applyAlignment="1">
      <alignment horizontal="center"/>
    </xf>
    <xf numFmtId="0" fontId="12" fillId="0" borderId="0" xfId="0" applyFont="1" applyBorder="1" applyAlignment="1">
      <alignment horizontal="center"/>
    </xf>
    <xf numFmtId="0" fontId="12" fillId="0" borderId="0" xfId="0" applyFont="1" applyBorder="1" applyAlignment="1">
      <alignment vertical="center"/>
    </xf>
    <xf numFmtId="0" fontId="12" fillId="0" borderId="0" xfId="0" applyFont="1" applyBorder="1" applyAlignment="1">
      <alignment horizontal="center" vertical="center" wrapText="1"/>
    </xf>
    <xf numFmtId="0" fontId="11" fillId="0" borderId="34" xfId="0" applyFont="1" applyBorder="1" applyAlignment="1">
      <alignment horizontal="center" vertical="center"/>
    </xf>
    <xf numFmtId="0" fontId="11" fillId="0" borderId="35" xfId="0" applyFont="1" applyBorder="1" applyAlignment="1">
      <alignment horizontal="center" vertical="center"/>
    </xf>
    <xf numFmtId="0" fontId="11" fillId="0" borderId="0" xfId="0" applyFont="1" applyBorder="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8" xfId="0" applyFont="1" applyBorder="1" applyAlignment="1">
      <alignment horizontal="center" vertical="center"/>
    </xf>
    <xf numFmtId="0" fontId="12" fillId="0" borderId="7" xfId="0" applyFont="1" applyBorder="1" applyAlignment="1">
      <alignment horizontal="center" vertical="center"/>
    </xf>
    <xf numFmtId="0" fontId="12" fillId="0" borderId="1" xfId="0" applyFont="1" applyBorder="1" applyAlignment="1">
      <alignment horizontal="center" vertical="center" wrapText="1"/>
    </xf>
    <xf numFmtId="0" fontId="12" fillId="0" borderId="22" xfId="0" applyFont="1" applyBorder="1" applyAlignment="1">
      <alignment horizontal="center" vertical="center"/>
    </xf>
    <xf numFmtId="0" fontId="12" fillId="0" borderId="14" xfId="0" applyFont="1" applyBorder="1" applyAlignment="1">
      <alignment horizontal="center" vertical="center" wrapText="1"/>
    </xf>
    <xf numFmtId="0" fontId="12" fillId="0" borderId="29" xfId="0" applyFont="1" applyBorder="1" applyAlignment="1">
      <alignment vertical="center"/>
    </xf>
    <xf numFmtId="0" fontId="12" fillId="0" borderId="30" xfId="0" applyFont="1" applyBorder="1"/>
    <xf numFmtId="0" fontId="12" fillId="0" borderId="9" xfId="0" applyFont="1" applyBorder="1" applyAlignment="1">
      <alignment horizontal="center" vertical="center" wrapText="1"/>
    </xf>
    <xf numFmtId="0" fontId="12" fillId="0" borderId="9" xfId="0" applyFont="1" applyBorder="1" applyAlignment="1">
      <alignment horizontal="center" vertical="center"/>
    </xf>
    <xf numFmtId="0" fontId="12" fillId="0" borderId="21" xfId="0" applyFont="1" applyBorder="1" applyAlignment="1">
      <alignment horizontal="center" vertical="center"/>
    </xf>
    <xf numFmtId="0" fontId="12" fillId="0" borderId="10" xfId="0" applyFont="1" applyBorder="1" applyAlignment="1">
      <alignment horizontal="center" vertical="center"/>
    </xf>
    <xf numFmtId="0" fontId="12" fillId="0" borderId="15" xfId="0" applyFont="1" applyBorder="1" applyAlignment="1">
      <alignment horizontal="center" vertical="center"/>
    </xf>
    <xf numFmtId="0" fontId="12" fillId="0" borderId="11" xfId="0" applyFont="1" applyBorder="1" applyAlignment="1">
      <alignment vertical="center"/>
    </xf>
    <xf numFmtId="0" fontId="12" fillId="0" borderId="13" xfId="0" applyFont="1" applyBorder="1" applyAlignment="1">
      <alignment vertical="center"/>
    </xf>
    <xf numFmtId="0" fontId="12" fillId="0" borderId="29" xfId="0" applyFont="1" applyBorder="1"/>
    <xf numFmtId="0" fontId="12" fillId="0" borderId="12" xfId="0" applyFont="1" applyBorder="1" applyAlignment="1">
      <alignment vertical="center"/>
    </xf>
    <xf numFmtId="0" fontId="12" fillId="6" borderId="26" xfId="0" applyFont="1" applyFill="1" applyBorder="1" applyAlignment="1">
      <alignment horizontal="center" vertical="center"/>
    </xf>
    <xf numFmtId="0" fontId="13" fillId="6" borderId="7" xfId="0" applyFont="1" applyFill="1" applyBorder="1" applyAlignment="1">
      <alignment horizontal="center" vertical="center"/>
    </xf>
    <xf numFmtId="0" fontId="13" fillId="6" borderId="8" xfId="0" applyFont="1" applyFill="1" applyBorder="1" applyAlignment="1">
      <alignment horizontal="center" vertical="center"/>
    </xf>
    <xf numFmtId="0" fontId="19" fillId="6" borderId="7" xfId="0" applyFont="1" applyFill="1" applyBorder="1" applyAlignment="1">
      <alignment horizontal="center" vertical="center"/>
    </xf>
    <xf numFmtId="0" fontId="19" fillId="6" borderId="8" xfId="0" applyFont="1" applyFill="1" applyBorder="1" applyAlignment="1">
      <alignment horizontal="center" vertical="center"/>
    </xf>
    <xf numFmtId="0" fontId="19" fillId="0" borderId="49" xfId="0" applyFont="1" applyBorder="1" applyAlignment="1">
      <alignment horizontal="center" vertical="center"/>
    </xf>
    <xf numFmtId="0" fontId="12" fillId="6" borderId="34" xfId="0" applyFont="1" applyFill="1" applyBorder="1" applyAlignment="1">
      <alignment horizontal="center" vertical="center"/>
    </xf>
    <xf numFmtId="0" fontId="12" fillId="6" borderId="27" xfId="0" applyFont="1" applyFill="1" applyBorder="1" applyAlignment="1">
      <alignment horizontal="center" vertical="center"/>
    </xf>
    <xf numFmtId="0" fontId="13" fillId="6" borderId="13" xfId="0" applyFont="1" applyFill="1" applyBorder="1" applyAlignment="1">
      <alignment horizontal="center" vertical="center"/>
    </xf>
    <xf numFmtId="0" fontId="13" fillId="6" borderId="44" xfId="0" applyFont="1" applyFill="1" applyBorder="1" applyAlignment="1">
      <alignment horizontal="center" vertical="center"/>
    </xf>
    <xf numFmtId="0" fontId="19" fillId="6" borderId="13" xfId="0" applyFont="1" applyFill="1" applyBorder="1" applyAlignment="1">
      <alignment horizontal="center" vertical="center"/>
    </xf>
    <xf numFmtId="0" fontId="19" fillId="6" borderId="44" xfId="0" applyFont="1" applyFill="1" applyBorder="1" applyAlignment="1">
      <alignment horizontal="center" vertical="center"/>
    </xf>
    <xf numFmtId="0" fontId="18" fillId="6" borderId="18" xfId="0" applyFont="1" applyFill="1" applyBorder="1" applyAlignment="1">
      <alignment horizontal="center" vertical="center" wrapText="1"/>
    </xf>
    <xf numFmtId="0" fontId="18" fillId="6" borderId="3" xfId="0" applyFont="1" applyFill="1" applyBorder="1" applyAlignment="1">
      <alignment horizontal="center" vertical="center"/>
    </xf>
    <xf numFmtId="0" fontId="18" fillId="6" borderId="3" xfId="0" applyFont="1" applyFill="1" applyBorder="1" applyAlignment="1">
      <alignment horizontal="center" vertical="center" wrapText="1"/>
    </xf>
    <xf numFmtId="0" fontId="18" fillId="6" borderId="16" xfId="0" applyFont="1" applyFill="1" applyBorder="1" applyAlignment="1">
      <alignment horizontal="center" vertical="center" wrapText="1"/>
    </xf>
    <xf numFmtId="0" fontId="18" fillId="6" borderId="1" xfId="0" applyFont="1" applyFill="1" applyBorder="1" applyAlignment="1">
      <alignment horizontal="center" vertical="center" wrapText="1"/>
    </xf>
    <xf numFmtId="0" fontId="18" fillId="6" borderId="8" xfId="0" applyFont="1" applyFill="1" applyBorder="1" applyAlignment="1">
      <alignment horizontal="center" vertical="center" wrapText="1"/>
    </xf>
    <xf numFmtId="0" fontId="9" fillId="0" borderId="1" xfId="0" applyFont="1" applyBorder="1" applyAlignment="1">
      <alignment horizontal="center" vertical="center"/>
    </xf>
    <xf numFmtId="0" fontId="9" fillId="0" borderId="8" xfId="0" applyFont="1" applyBorder="1" applyAlignment="1">
      <alignment horizontal="center" vertical="center"/>
    </xf>
    <xf numFmtId="0" fontId="12" fillId="0" borderId="13" xfId="0" applyFont="1" applyBorder="1" applyAlignment="1">
      <alignment horizontal="center" vertical="center"/>
    </xf>
    <xf numFmtId="0" fontId="9" fillId="0" borderId="43" xfId="0" applyFont="1" applyBorder="1" applyAlignment="1">
      <alignment horizontal="center" vertical="center"/>
    </xf>
    <xf numFmtId="0" fontId="12" fillId="0" borderId="43" xfId="0" applyFont="1" applyBorder="1" applyAlignment="1">
      <alignment horizontal="center" vertical="center"/>
    </xf>
    <xf numFmtId="0" fontId="12" fillId="0" borderId="46" xfId="0" applyFont="1" applyBorder="1" applyAlignment="1">
      <alignment horizontal="center" vertical="center"/>
    </xf>
    <xf numFmtId="0" fontId="9" fillId="0" borderId="10" xfId="0" applyFont="1" applyBorder="1" applyAlignment="1">
      <alignment horizontal="center" vertical="center"/>
    </xf>
    <xf numFmtId="0" fontId="20" fillId="0" borderId="8" xfId="0" applyFont="1" applyBorder="1" applyAlignment="1">
      <alignment horizontal="center" vertical="center"/>
    </xf>
    <xf numFmtId="0" fontId="20" fillId="0" borderId="10" xfId="1" applyNumberFormat="1" applyFont="1" applyBorder="1" applyAlignment="1">
      <alignment horizontal="center" vertical="center"/>
    </xf>
    <xf numFmtId="0" fontId="18" fillId="0" borderId="7" xfId="0" applyFont="1" applyBorder="1" applyAlignment="1">
      <alignment horizontal="center" vertical="center" wrapText="1"/>
    </xf>
    <xf numFmtId="0" fontId="18" fillId="0" borderId="17" xfId="0" applyFont="1" applyBorder="1" applyAlignment="1">
      <alignment horizontal="center" vertical="center" wrapText="1"/>
    </xf>
    <xf numFmtId="0" fontId="12" fillId="0" borderId="21" xfId="0" applyFont="1" applyBorder="1" applyAlignment="1">
      <alignment horizontal="center" vertical="center" wrapText="1"/>
    </xf>
    <xf numFmtId="0" fontId="12" fillId="0" borderId="10" xfId="0" applyFont="1" applyBorder="1" applyAlignment="1">
      <alignment horizontal="center" vertical="center" wrapText="1"/>
    </xf>
    <xf numFmtId="0" fontId="4" fillId="0" borderId="0" xfId="0" applyFont="1" applyBorder="1" applyAlignment="1">
      <alignment horizontal="center" vertical="center"/>
    </xf>
    <xf numFmtId="0" fontId="5" fillId="0" borderId="0" xfId="0" applyFont="1" applyBorder="1" applyAlignment="1">
      <alignment horizontal="center" vertical="center"/>
    </xf>
    <xf numFmtId="0" fontId="12" fillId="0" borderId="0" xfId="0" applyFont="1" applyBorder="1" applyAlignment="1">
      <alignment horizontal="center" vertical="center"/>
    </xf>
    <xf numFmtId="0" fontId="9" fillId="5" borderId="23" xfId="0" applyFont="1" applyFill="1" applyBorder="1" applyAlignment="1">
      <alignment horizontal="center" vertical="center"/>
    </xf>
    <xf numFmtId="0" fontId="9" fillId="5" borderId="9" xfId="0" applyFont="1" applyFill="1" applyBorder="1" applyAlignment="1">
      <alignment horizontal="center" vertical="center"/>
    </xf>
    <xf numFmtId="0" fontId="9" fillId="5" borderId="10" xfId="0" applyFont="1" applyFill="1" applyBorder="1" applyAlignment="1">
      <alignment horizontal="center" vertical="center"/>
    </xf>
    <xf numFmtId="0" fontId="13" fillId="0" borderId="0" xfId="0" applyFont="1" applyBorder="1" applyAlignment="1">
      <alignment horizontal="center"/>
    </xf>
    <xf numFmtId="0" fontId="13" fillId="0" borderId="0" xfId="0" applyFont="1" applyAlignment="1">
      <alignment horizontal="center"/>
    </xf>
    <xf numFmtId="0" fontId="10" fillId="0" borderId="0" xfId="0" applyFont="1" applyAlignment="1">
      <alignment horizontal="center" vertical="center" wrapText="1"/>
    </xf>
    <xf numFmtId="0" fontId="11" fillId="0" borderId="0" xfId="0" applyFont="1" applyAlignment="1">
      <alignment horizontal="center" vertical="center"/>
    </xf>
    <xf numFmtId="0" fontId="10" fillId="0" borderId="0" xfId="0" applyFont="1" applyAlignment="1">
      <alignment horizontal="left"/>
    </xf>
    <xf numFmtId="0" fontId="9" fillId="0" borderId="0" xfId="0" applyFont="1" applyAlignment="1">
      <alignment horizontal="center" vertical="center"/>
    </xf>
    <xf numFmtId="0" fontId="13" fillId="0" borderId="20"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xf>
    <xf numFmtId="0" fontId="11" fillId="0" borderId="33" xfId="0" applyFont="1" applyBorder="1" applyAlignment="1">
      <alignment horizontal="center" vertical="center" wrapText="1"/>
    </xf>
    <xf numFmtId="0" fontId="11" fillId="0" borderId="34" xfId="0" applyFont="1" applyBorder="1" applyAlignment="1">
      <alignment horizontal="center" vertical="center" wrapText="1"/>
    </xf>
    <xf numFmtId="0" fontId="10" fillId="0" borderId="24" xfId="0" applyFont="1" applyBorder="1" applyAlignment="1">
      <alignment horizontal="center" vertical="center"/>
    </xf>
    <xf numFmtId="0" fontId="10" fillId="0" borderId="5" xfId="0" applyFont="1" applyBorder="1" applyAlignment="1">
      <alignment horizontal="center" vertical="center"/>
    </xf>
    <xf numFmtId="0" fontId="10" fillId="0" borderId="31" xfId="0" applyFont="1" applyBorder="1" applyAlignment="1">
      <alignment horizontal="center" vertical="center"/>
    </xf>
    <xf numFmtId="0" fontId="10" fillId="0" borderId="20" xfId="0" applyFont="1" applyBorder="1" applyAlignment="1">
      <alignment horizontal="center" vertical="center"/>
    </xf>
    <xf numFmtId="0" fontId="10" fillId="0" borderId="1" xfId="0" applyFont="1" applyBorder="1" applyAlignment="1">
      <alignment horizontal="center" vertical="center"/>
    </xf>
    <xf numFmtId="0" fontId="10" fillId="0" borderId="2" xfId="0" applyFont="1" applyBorder="1" applyAlignment="1">
      <alignment horizontal="center" vertical="center"/>
    </xf>
    <xf numFmtId="0" fontId="9" fillId="4" borderId="7" xfId="0" applyFont="1" applyFill="1" applyBorder="1" applyAlignment="1">
      <alignment horizontal="center" vertical="center"/>
    </xf>
    <xf numFmtId="0" fontId="9" fillId="4" borderId="8" xfId="0" applyFont="1" applyFill="1" applyBorder="1" applyAlignment="1">
      <alignment horizontal="center" vertical="center"/>
    </xf>
    <xf numFmtId="0" fontId="14" fillId="4" borderId="4" xfId="0" applyFont="1" applyFill="1" applyBorder="1" applyAlignment="1">
      <alignment horizontal="center" vertical="center"/>
    </xf>
    <xf numFmtId="0" fontId="14" fillId="4" borderId="6"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5" xfId="0" applyFont="1" applyFill="1" applyBorder="1" applyAlignment="1">
      <alignment horizontal="center" vertical="center"/>
    </xf>
    <xf numFmtId="0" fontId="14" fillId="3" borderId="6" xfId="0" applyFont="1" applyFill="1" applyBorder="1" applyAlignment="1">
      <alignment horizontal="center" vertical="center"/>
    </xf>
    <xf numFmtId="0" fontId="14" fillId="5" borderId="24" xfId="0" applyFont="1" applyFill="1" applyBorder="1" applyAlignment="1">
      <alignment horizontal="center" vertical="center"/>
    </xf>
    <xf numFmtId="0" fontId="14" fillId="5" borderId="5" xfId="0" applyFont="1" applyFill="1" applyBorder="1" applyAlignment="1">
      <alignment horizontal="center" vertical="center"/>
    </xf>
    <xf numFmtId="0" fontId="14" fillId="5" borderId="6" xfId="0" applyFont="1" applyFill="1" applyBorder="1" applyAlignment="1">
      <alignment horizontal="center" vertical="center"/>
    </xf>
    <xf numFmtId="0" fontId="11" fillId="4" borderId="7" xfId="0" applyFont="1" applyFill="1" applyBorder="1" applyAlignment="1">
      <alignment horizontal="center" vertical="center"/>
    </xf>
    <xf numFmtId="0" fontId="11" fillId="4" borderId="8" xfId="0" applyFont="1" applyFill="1" applyBorder="1" applyAlignment="1">
      <alignment horizontal="center" vertical="center"/>
    </xf>
    <xf numFmtId="0" fontId="9" fillId="5" borderId="20" xfId="0" applyFont="1" applyFill="1" applyBorder="1" applyAlignment="1">
      <alignment horizontal="center" vertical="center"/>
    </xf>
    <xf numFmtId="0" fontId="9" fillId="5" borderId="1" xfId="0" applyFont="1" applyFill="1" applyBorder="1" applyAlignment="1">
      <alignment horizontal="center" vertical="center"/>
    </xf>
    <xf numFmtId="0" fontId="9" fillId="5" borderId="8" xfId="0" applyFont="1" applyFill="1" applyBorder="1" applyAlignment="1">
      <alignment horizontal="center" vertical="center"/>
    </xf>
    <xf numFmtId="0" fontId="9" fillId="3" borderId="7" xfId="0" applyFont="1" applyFill="1" applyBorder="1" applyAlignment="1">
      <alignment horizontal="center" vertical="center"/>
    </xf>
    <xf numFmtId="0" fontId="9" fillId="3" borderId="1" xfId="0" applyFont="1" applyFill="1" applyBorder="1" applyAlignment="1">
      <alignment horizontal="center" vertical="center"/>
    </xf>
    <xf numFmtId="0" fontId="9" fillId="3" borderId="8"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8" xfId="0" applyFont="1" applyFill="1" applyBorder="1" applyAlignment="1">
      <alignment horizontal="center" vertical="center"/>
    </xf>
    <xf numFmtId="0" fontId="11" fillId="5" borderId="20" xfId="0" applyFont="1" applyFill="1" applyBorder="1" applyAlignment="1">
      <alignment horizontal="center" vertical="center"/>
    </xf>
    <xf numFmtId="0" fontId="11" fillId="5" borderId="1" xfId="0" applyFont="1" applyFill="1" applyBorder="1" applyAlignment="1">
      <alignment horizontal="center" vertical="center"/>
    </xf>
    <xf numFmtId="0" fontId="11" fillId="5" borderId="8" xfId="0" applyFont="1" applyFill="1" applyBorder="1" applyAlignment="1">
      <alignment horizontal="center" vertical="center"/>
    </xf>
    <xf numFmtId="0" fontId="1" fillId="0" borderId="0" xfId="0" applyFont="1" applyBorder="1" applyAlignment="1">
      <alignment horizontal="center" vertical="center"/>
    </xf>
    <xf numFmtId="0" fontId="7" fillId="0" borderId="0" xfId="0" applyFont="1" applyBorder="1" applyAlignment="1">
      <alignment horizontal="center" vertical="center" wrapText="1"/>
    </xf>
    <xf numFmtId="0" fontId="2" fillId="0" borderId="0" xfId="0" applyFont="1" applyBorder="1" applyAlignment="1">
      <alignment horizontal="center" vertical="center"/>
    </xf>
    <xf numFmtId="0" fontId="5" fillId="0" borderId="0" xfId="0" applyFont="1" applyBorder="1" applyAlignment="1">
      <alignment horizontal="center"/>
    </xf>
    <xf numFmtId="0" fontId="7" fillId="0" borderId="0" xfId="0" applyFont="1" applyBorder="1" applyAlignment="1">
      <alignment horizontal="center"/>
    </xf>
    <xf numFmtId="0" fontId="6" fillId="0" borderId="0" xfId="0" applyFont="1" applyBorder="1" applyAlignment="1">
      <alignment horizontal="center" vertical="center" wrapText="1"/>
    </xf>
    <xf numFmtId="0" fontId="13" fillId="0" borderId="23" xfId="0" applyFont="1" applyBorder="1" applyAlignment="1">
      <alignment horizontal="center" vertical="center"/>
    </xf>
    <xf numFmtId="0" fontId="13" fillId="0" borderId="9" xfId="0" applyFont="1" applyBorder="1" applyAlignment="1">
      <alignment horizontal="center" vertical="center"/>
    </xf>
    <xf numFmtId="0" fontId="13" fillId="0" borderId="21" xfId="0" applyFont="1" applyBorder="1" applyAlignment="1">
      <alignment horizontal="center" vertical="center"/>
    </xf>
    <xf numFmtId="0" fontId="9" fillId="4" borderId="17" xfId="0" applyFont="1" applyFill="1" applyBorder="1" applyAlignment="1">
      <alignment horizontal="center" vertical="center"/>
    </xf>
    <xf numFmtId="0" fontId="9" fillId="4" borderId="10" xfId="0" applyFont="1" applyFill="1" applyBorder="1" applyAlignment="1">
      <alignment horizontal="center" vertical="center"/>
    </xf>
    <xf numFmtId="0" fontId="9" fillId="3" borderId="17" xfId="0" applyFont="1" applyFill="1" applyBorder="1" applyAlignment="1">
      <alignment horizontal="center" vertical="center"/>
    </xf>
    <xf numFmtId="0" fontId="9" fillId="3" borderId="9" xfId="0" applyFont="1" applyFill="1" applyBorder="1" applyAlignment="1">
      <alignment horizontal="center" vertical="center"/>
    </xf>
    <xf numFmtId="0" fontId="9" fillId="3" borderId="10" xfId="0" applyFont="1" applyFill="1" applyBorder="1" applyAlignment="1">
      <alignment horizontal="center" vertical="center"/>
    </xf>
    <xf numFmtId="0" fontId="0" fillId="0" borderId="0" xfId="0" applyBorder="1" applyAlignment="1">
      <alignment horizontal="center"/>
    </xf>
    <xf numFmtId="0" fontId="4" fillId="0" borderId="0" xfId="0" applyFont="1" applyBorder="1" applyAlignment="1">
      <alignment horizontal="center"/>
    </xf>
    <xf numFmtId="0" fontId="12" fillId="0" borderId="1" xfId="0" applyFont="1" applyBorder="1" applyAlignment="1">
      <alignment horizontal="center" vertical="center"/>
    </xf>
    <xf numFmtId="0" fontId="12" fillId="0" borderId="8" xfId="0" applyFont="1" applyBorder="1" applyAlignment="1">
      <alignment horizontal="center" vertical="center"/>
    </xf>
    <xf numFmtId="0" fontId="9" fillId="0" borderId="1" xfId="0" applyFont="1" applyBorder="1" applyAlignment="1">
      <alignment horizontal="center" vertical="center"/>
    </xf>
    <xf numFmtId="0" fontId="9" fillId="0" borderId="8" xfId="0" applyFont="1" applyBorder="1" applyAlignment="1">
      <alignment horizontal="center" vertical="center"/>
    </xf>
    <xf numFmtId="0" fontId="12" fillId="0" borderId="1" xfId="0" applyFont="1" applyBorder="1" applyAlignment="1">
      <alignment horizontal="center" vertical="center" wrapText="1"/>
    </xf>
    <xf numFmtId="0" fontId="14" fillId="4" borderId="36" xfId="0" applyFont="1" applyFill="1" applyBorder="1" applyAlignment="1">
      <alignment horizontal="center" vertical="center"/>
    </xf>
    <xf numFmtId="0" fontId="14" fillId="4" borderId="32" xfId="0" applyFont="1" applyFill="1" applyBorder="1" applyAlignment="1">
      <alignment horizontal="center" vertical="center"/>
    </xf>
    <xf numFmtId="0" fontId="14" fillId="4" borderId="37" xfId="0" applyFont="1" applyFill="1" applyBorder="1" applyAlignment="1">
      <alignment horizontal="center" vertical="center"/>
    </xf>
    <xf numFmtId="0" fontId="14" fillId="4" borderId="28" xfId="0" applyFont="1" applyFill="1" applyBorder="1" applyAlignment="1">
      <alignment horizontal="center" vertical="center"/>
    </xf>
    <xf numFmtId="0" fontId="14" fillId="4" borderId="38" xfId="0" applyFont="1" applyFill="1" applyBorder="1" applyAlignment="1">
      <alignment horizontal="center" vertical="center"/>
    </xf>
    <xf numFmtId="0" fontId="14" fillId="4" borderId="39" xfId="0" applyFont="1" applyFill="1" applyBorder="1" applyAlignment="1">
      <alignment horizontal="center" vertical="center"/>
    </xf>
    <xf numFmtId="0" fontId="12" fillId="0" borderId="2" xfId="0" applyFont="1" applyBorder="1" applyAlignment="1">
      <alignment horizontal="center" vertical="center"/>
    </xf>
    <xf numFmtId="0" fontId="12" fillId="0" borderId="11" xfId="0" applyFont="1" applyBorder="1" applyAlignment="1">
      <alignment horizontal="center" vertical="center"/>
    </xf>
    <xf numFmtId="0" fontId="12" fillId="0" borderId="13" xfId="0" applyFont="1" applyBorder="1" applyAlignment="1">
      <alignment horizontal="center" vertical="center"/>
    </xf>
    <xf numFmtId="0" fontId="9" fillId="0" borderId="2" xfId="0" applyFont="1" applyBorder="1" applyAlignment="1">
      <alignment horizontal="center" vertical="center"/>
    </xf>
    <xf numFmtId="0" fontId="12" fillId="0" borderId="7" xfId="0" applyFont="1" applyBorder="1" applyAlignment="1">
      <alignment horizontal="center" vertical="center" wrapText="1"/>
    </xf>
    <xf numFmtId="0" fontId="14" fillId="3" borderId="36" xfId="0" applyFont="1" applyFill="1" applyBorder="1" applyAlignment="1">
      <alignment horizontal="center" vertical="center"/>
    </xf>
    <xf numFmtId="0" fontId="14" fillId="3" borderId="32" xfId="0" applyFont="1" applyFill="1" applyBorder="1" applyAlignment="1">
      <alignment horizontal="center" vertical="center"/>
    </xf>
    <xf numFmtId="0" fontId="14" fillId="3" borderId="37" xfId="0" applyFont="1" applyFill="1" applyBorder="1" applyAlignment="1">
      <alignment horizontal="center" vertical="center"/>
    </xf>
    <xf numFmtId="0" fontId="14" fillId="3" borderId="28" xfId="0" applyFont="1" applyFill="1" applyBorder="1" applyAlignment="1">
      <alignment horizontal="center" vertical="center"/>
    </xf>
    <xf numFmtId="0" fontId="14" fillId="3" borderId="38" xfId="0" applyFont="1" applyFill="1" applyBorder="1" applyAlignment="1">
      <alignment horizontal="center" vertical="center"/>
    </xf>
    <xf numFmtId="0" fontId="14" fillId="3" borderId="39" xfId="0" applyFont="1" applyFill="1" applyBorder="1" applyAlignment="1">
      <alignment horizontal="center" vertical="center"/>
    </xf>
    <xf numFmtId="0" fontId="12" fillId="0" borderId="22" xfId="0" applyFont="1" applyBorder="1" applyAlignment="1">
      <alignment horizontal="center" vertical="center"/>
    </xf>
    <xf numFmtId="0" fontId="12" fillId="0" borderId="16" xfId="0" applyFont="1" applyBorder="1" applyAlignment="1">
      <alignment horizontal="center" vertical="center"/>
    </xf>
    <xf numFmtId="0" fontId="14" fillId="5" borderId="36" xfId="0" applyFont="1" applyFill="1" applyBorder="1" applyAlignment="1">
      <alignment horizontal="center" vertical="center"/>
    </xf>
    <xf numFmtId="0" fontId="14" fillId="5" borderId="32" xfId="0" applyFont="1" applyFill="1" applyBorder="1" applyAlignment="1">
      <alignment horizontal="center" vertical="center"/>
    </xf>
    <xf numFmtId="0" fontId="14" fillId="5" borderId="37" xfId="0" applyFont="1" applyFill="1" applyBorder="1" applyAlignment="1">
      <alignment horizontal="center" vertical="center"/>
    </xf>
    <xf numFmtId="0" fontId="14" fillId="5" borderId="28" xfId="0" applyFont="1" applyFill="1" applyBorder="1" applyAlignment="1">
      <alignment horizontal="center" vertical="center"/>
    </xf>
    <xf numFmtId="0" fontId="14" fillId="5" borderId="38" xfId="0" applyFont="1" applyFill="1" applyBorder="1" applyAlignment="1">
      <alignment horizontal="center" vertical="center"/>
    </xf>
    <xf numFmtId="0" fontId="14" fillId="5" borderId="39" xfId="0" applyFont="1" applyFill="1" applyBorder="1" applyAlignment="1">
      <alignment horizontal="center" vertical="center"/>
    </xf>
    <xf numFmtId="0" fontId="14" fillId="5" borderId="29" xfId="0" applyFont="1" applyFill="1" applyBorder="1" applyAlignment="1">
      <alignment horizontal="center" vertical="center"/>
    </xf>
    <xf numFmtId="0" fontId="14" fillId="5" borderId="0" xfId="0" applyFont="1" applyFill="1" applyBorder="1" applyAlignment="1">
      <alignment horizontal="center" vertical="center"/>
    </xf>
    <xf numFmtId="0" fontId="14" fillId="5" borderId="42" xfId="0" applyFont="1" applyFill="1" applyBorder="1" applyAlignment="1">
      <alignment horizontal="center" vertical="center"/>
    </xf>
    <xf numFmtId="0" fontId="12" fillId="0" borderId="4" xfId="0" applyFont="1" applyBorder="1" applyAlignment="1">
      <alignment horizontal="center" vertical="center" wrapText="1"/>
    </xf>
    <xf numFmtId="0" fontId="12" fillId="0" borderId="5" xfId="0" applyFont="1" applyBorder="1" applyAlignment="1">
      <alignment horizontal="center" vertical="center"/>
    </xf>
    <xf numFmtId="0" fontId="12" fillId="0" borderId="31" xfId="0" applyFont="1" applyBorder="1" applyAlignment="1">
      <alignment horizontal="center" vertical="center"/>
    </xf>
    <xf numFmtId="0" fontId="16" fillId="6" borderId="18" xfId="0" applyFont="1" applyFill="1" applyBorder="1" applyAlignment="1">
      <alignment horizontal="center" vertical="center" wrapText="1"/>
    </xf>
    <xf numFmtId="0" fontId="16" fillId="6" borderId="19" xfId="0" applyFont="1" applyFill="1" applyBorder="1" applyAlignment="1">
      <alignment horizontal="center" vertical="center" wrapText="1"/>
    </xf>
    <xf numFmtId="0" fontId="17" fillId="6" borderId="4" xfId="0" applyFont="1" applyFill="1" applyBorder="1" applyAlignment="1">
      <alignment horizontal="center" vertical="center" wrapText="1"/>
    </xf>
    <xf numFmtId="0" fontId="17" fillId="6" borderId="6" xfId="0" applyFont="1" applyFill="1" applyBorder="1" applyAlignment="1">
      <alignment horizontal="center" vertical="center" wrapText="1"/>
    </xf>
    <xf numFmtId="0" fontId="12" fillId="0" borderId="39" xfId="0" applyFont="1" applyBorder="1" applyAlignment="1">
      <alignment horizontal="center" vertical="center" wrapText="1"/>
    </xf>
    <xf numFmtId="0" fontId="12" fillId="0" borderId="49" xfId="0" applyFont="1" applyBorder="1" applyAlignment="1">
      <alignment horizontal="center" vertical="center" wrapText="1"/>
    </xf>
    <xf numFmtId="0" fontId="15" fillId="2" borderId="36" xfId="0" applyFont="1" applyFill="1" applyBorder="1" applyAlignment="1">
      <alignment horizontal="center" vertical="center" wrapText="1"/>
    </xf>
    <xf numFmtId="0" fontId="15" fillId="2" borderId="32" xfId="0" applyFont="1" applyFill="1" applyBorder="1" applyAlignment="1">
      <alignment horizontal="center" vertical="center" wrapText="1"/>
    </xf>
    <xf numFmtId="0" fontId="15" fillId="2" borderId="37" xfId="0" applyFont="1" applyFill="1" applyBorder="1" applyAlignment="1">
      <alignment horizontal="center" vertical="center" wrapText="1"/>
    </xf>
    <xf numFmtId="0" fontId="15" fillId="2" borderId="30" xfId="0" applyFont="1" applyFill="1" applyBorder="1" applyAlignment="1">
      <alignment horizontal="center" vertical="center" wrapText="1"/>
    </xf>
    <xf numFmtId="0" fontId="15" fillId="2" borderId="40" xfId="0" applyFont="1" applyFill="1" applyBorder="1" applyAlignment="1">
      <alignment horizontal="center" vertical="center" wrapText="1"/>
    </xf>
    <xf numFmtId="0" fontId="15" fillId="2" borderId="41" xfId="0" applyFont="1" applyFill="1" applyBorder="1" applyAlignment="1">
      <alignment horizontal="center" vertical="center" wrapText="1"/>
    </xf>
    <xf numFmtId="0" fontId="12" fillId="0" borderId="8"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8" xfId="0" applyFont="1" applyBorder="1" applyAlignment="1">
      <alignment horizontal="center" vertical="center" wrapText="1"/>
    </xf>
    <xf numFmtId="0" fontId="12" fillId="0" borderId="18" xfId="0" applyFont="1" applyBorder="1" applyAlignment="1">
      <alignment horizontal="center" vertical="center" wrapText="1"/>
    </xf>
    <xf numFmtId="0" fontId="12" fillId="0" borderId="3" xfId="0" applyFont="1" applyBorder="1" applyAlignment="1">
      <alignment horizontal="center" vertical="center"/>
    </xf>
    <xf numFmtId="0" fontId="9" fillId="6" borderId="13"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12" fillId="6" borderId="45" xfId="0" applyFont="1" applyFill="1" applyBorder="1" applyAlignment="1">
      <alignment horizontal="center" vertical="center"/>
    </xf>
    <xf numFmtId="0" fontId="12" fillId="6" borderId="43" xfId="0" applyFont="1" applyFill="1" applyBorder="1" applyAlignment="1">
      <alignment horizontal="center" vertical="center"/>
    </xf>
    <xf numFmtId="0" fontId="12" fillId="6" borderId="46" xfId="0" applyFont="1" applyFill="1" applyBorder="1" applyAlignment="1">
      <alignment horizontal="center" vertical="center"/>
    </xf>
    <xf numFmtId="0" fontId="12" fillId="6" borderId="7" xfId="0" applyFont="1" applyFill="1" applyBorder="1" applyAlignment="1">
      <alignment horizontal="center" vertical="center"/>
    </xf>
    <xf numFmtId="0" fontId="12" fillId="6" borderId="1" xfId="0" applyFont="1" applyFill="1" applyBorder="1" applyAlignment="1">
      <alignment horizontal="center" vertical="center"/>
    </xf>
    <xf numFmtId="0" fontId="12" fillId="6" borderId="2" xfId="0" applyFont="1" applyFill="1" applyBorder="1" applyAlignment="1">
      <alignment horizontal="center" vertical="center"/>
    </xf>
    <xf numFmtId="0" fontId="12" fillId="6" borderId="20" xfId="0" applyFont="1" applyFill="1" applyBorder="1" applyAlignment="1">
      <alignment horizontal="center" vertical="center"/>
    </xf>
    <xf numFmtId="0" fontId="9" fillId="6" borderId="7" xfId="0" applyFont="1" applyFill="1" applyBorder="1" applyAlignment="1">
      <alignment horizontal="center" vertical="center"/>
    </xf>
    <xf numFmtId="0" fontId="9" fillId="6" borderId="1" xfId="0" applyFont="1" applyFill="1" applyBorder="1" applyAlignment="1">
      <alignment horizontal="center" vertical="center"/>
    </xf>
    <xf numFmtId="0" fontId="9" fillId="6" borderId="8" xfId="0" applyFont="1" applyFill="1" applyBorder="1" applyAlignment="1">
      <alignment horizontal="center" vertical="center"/>
    </xf>
    <xf numFmtId="0" fontId="0" fillId="0" borderId="0" xfId="0" applyAlignment="1">
      <alignment horizontal="center"/>
    </xf>
    <xf numFmtId="0" fontId="14" fillId="2" borderId="25" xfId="0" applyFont="1" applyFill="1" applyBorder="1" applyAlignment="1">
      <alignment horizontal="center" vertical="center"/>
    </xf>
    <xf numFmtId="0" fontId="14" fillId="2" borderId="47" xfId="0" applyFont="1" applyFill="1" applyBorder="1" applyAlignment="1">
      <alignment horizontal="center" vertical="center"/>
    </xf>
    <xf numFmtId="0" fontId="14" fillId="2" borderId="48" xfId="0" applyFont="1" applyFill="1" applyBorder="1" applyAlignment="1">
      <alignment horizontal="center" vertical="center"/>
    </xf>
    <xf numFmtId="0" fontId="21" fillId="0" borderId="4" xfId="0" applyFont="1" applyBorder="1" applyAlignment="1">
      <alignment horizontal="center" vertical="center"/>
    </xf>
    <xf numFmtId="0" fontId="21" fillId="0" borderId="6" xfId="0" applyFont="1" applyBorder="1" applyAlignment="1">
      <alignment horizontal="center" vertical="center"/>
    </xf>
  </cellXfs>
  <cellStyles count="2">
    <cellStyle name="Normal" xfId="0" builtinId="0"/>
    <cellStyle name="Percent"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85726</xdr:rowOff>
    </xdr:from>
    <xdr:to>
      <xdr:col>1</xdr:col>
      <xdr:colOff>419099</xdr:colOff>
      <xdr:row>4</xdr:row>
      <xdr:rowOff>132496</xdr:rowOff>
    </xdr:to>
    <xdr:pic>
      <xdr:nvPicPr>
        <xdr:cNvPr id="1025" name="Picture 1" descr="SSROCG"/>
        <xdr:cNvPicPr>
          <a:picLocks noChangeAspect="1" noChangeArrowheads="1"/>
        </xdr:cNvPicPr>
      </xdr:nvPicPr>
      <xdr:blipFill>
        <a:blip xmlns:r="http://schemas.openxmlformats.org/officeDocument/2006/relationships" r:embed="rId1" cstate="print"/>
        <a:srcRect/>
        <a:stretch>
          <a:fillRect/>
        </a:stretch>
      </xdr:blipFill>
      <xdr:spPr bwMode="auto">
        <a:xfrm>
          <a:off x="219075" y="85726"/>
          <a:ext cx="895349" cy="94212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P52"/>
  <sheetViews>
    <sheetView zoomScale="80" zoomScaleNormal="80" workbookViewId="0">
      <selection activeCell="K18" sqref="K18:N18"/>
    </sheetView>
  </sheetViews>
  <sheetFormatPr defaultRowHeight="15"/>
  <cols>
    <col min="1" max="1" width="10.42578125" customWidth="1"/>
    <col min="3" max="3" width="6.140625" customWidth="1"/>
    <col min="4" max="4" width="5.7109375" customWidth="1"/>
    <col min="5" max="5" width="10.85546875" customWidth="1"/>
    <col min="6" max="6" width="8.42578125" customWidth="1"/>
    <col min="7" max="7" width="24.42578125" customWidth="1"/>
    <col min="8" max="8" width="12.140625" customWidth="1"/>
    <col min="9" max="9" width="13.28515625" customWidth="1"/>
    <col min="10" max="10" width="7.42578125" customWidth="1"/>
    <col min="15" max="15" width="9.140625" customWidth="1"/>
  </cols>
  <sheetData>
    <row r="1" spans="1:16" ht="15" customHeight="1">
      <c r="A1" s="85"/>
      <c r="B1" s="85"/>
      <c r="C1" s="82" t="s">
        <v>0</v>
      </c>
      <c r="D1" s="82"/>
      <c r="E1" s="82"/>
      <c r="F1" s="82"/>
      <c r="G1" s="82"/>
      <c r="H1" s="82"/>
      <c r="I1" s="82"/>
      <c r="J1" s="82"/>
      <c r="K1" s="82"/>
      <c r="L1" s="82"/>
      <c r="M1" s="82"/>
      <c r="N1" s="82"/>
      <c r="O1" s="82"/>
      <c r="P1" s="82"/>
    </row>
    <row r="2" spans="1:16" ht="25.5" customHeight="1">
      <c r="A2" s="85"/>
      <c r="B2" s="85"/>
      <c r="C2" s="82"/>
      <c r="D2" s="82"/>
      <c r="E2" s="82"/>
      <c r="F2" s="82"/>
      <c r="G2" s="82"/>
      <c r="H2" s="82"/>
      <c r="I2" s="82"/>
      <c r="J2" s="82"/>
      <c r="K2" s="82"/>
      <c r="L2" s="82"/>
      <c r="M2" s="82"/>
      <c r="N2" s="82"/>
      <c r="O2" s="82"/>
      <c r="P2" s="82"/>
    </row>
    <row r="3" spans="1:16" ht="15" customHeight="1">
      <c r="A3" s="85"/>
      <c r="B3" s="85"/>
      <c r="C3" s="83" t="s">
        <v>2</v>
      </c>
      <c r="D3" s="83"/>
      <c r="E3" s="83"/>
      <c r="F3" s="83"/>
      <c r="G3" s="83"/>
      <c r="H3" s="83"/>
      <c r="I3" s="83"/>
      <c r="J3" s="83"/>
      <c r="K3" s="83"/>
      <c r="L3" s="83"/>
      <c r="M3" s="83"/>
      <c r="N3" s="83"/>
      <c r="O3" s="83"/>
      <c r="P3" s="83"/>
    </row>
    <row r="4" spans="1:16" ht="15" customHeight="1">
      <c r="A4" s="85"/>
      <c r="B4" s="85"/>
      <c r="C4" s="83"/>
      <c r="D4" s="83"/>
      <c r="E4" s="83"/>
      <c r="F4" s="83"/>
      <c r="G4" s="83"/>
      <c r="H4" s="83"/>
      <c r="I4" s="83"/>
      <c r="J4" s="83"/>
      <c r="K4" s="83"/>
      <c r="L4" s="83"/>
      <c r="M4" s="83"/>
      <c r="N4" s="83"/>
      <c r="O4" s="83"/>
      <c r="P4" s="83"/>
    </row>
    <row r="5" spans="1:16">
      <c r="A5" s="85"/>
      <c r="B5" s="85"/>
      <c r="C5" s="14"/>
      <c r="D5" s="14"/>
      <c r="E5" s="14"/>
      <c r="F5" s="14"/>
      <c r="G5" s="14"/>
      <c r="H5" s="14"/>
      <c r="I5" s="14"/>
      <c r="J5" s="14"/>
      <c r="K5" s="14"/>
      <c r="L5" s="14"/>
      <c r="M5" s="14"/>
      <c r="N5" s="14"/>
      <c r="O5" s="14"/>
      <c r="P5" s="14"/>
    </row>
    <row r="6" spans="1:16" ht="23.25">
      <c r="A6" s="81" t="s">
        <v>1</v>
      </c>
      <c r="B6" s="81"/>
      <c r="C6" s="81"/>
      <c r="D6" s="15"/>
      <c r="E6" s="80" t="s">
        <v>49</v>
      </c>
      <c r="F6" s="80"/>
      <c r="G6" s="80"/>
      <c r="H6" s="81" t="s">
        <v>50</v>
      </c>
      <c r="I6" s="81"/>
      <c r="J6" s="81"/>
      <c r="K6" s="81"/>
      <c r="L6" s="81"/>
      <c r="M6" s="84" t="s">
        <v>51</v>
      </c>
      <c r="N6" s="84"/>
      <c r="O6" s="84"/>
      <c r="P6" s="14"/>
    </row>
    <row r="7" spans="1:16" ht="15.75" thickBot="1">
      <c r="A7" s="16"/>
      <c r="B7" s="17"/>
      <c r="C7" s="16"/>
      <c r="D7" s="16"/>
      <c r="E7" s="16"/>
      <c r="F7" s="16"/>
      <c r="G7" s="18"/>
      <c r="H7" s="19"/>
      <c r="I7" s="14"/>
      <c r="J7" s="14"/>
      <c r="K7" s="14"/>
      <c r="L7" s="14"/>
      <c r="M7" s="14"/>
      <c r="N7" s="14"/>
      <c r="O7" s="14"/>
      <c r="P7" s="14"/>
    </row>
    <row r="8" spans="1:16" ht="24.95" customHeight="1">
      <c r="A8" s="89" t="s">
        <v>3</v>
      </c>
      <c r="B8" s="91" t="s">
        <v>4</v>
      </c>
      <c r="C8" s="92"/>
      <c r="D8" s="92"/>
      <c r="E8" s="93"/>
      <c r="F8" s="99" t="s">
        <v>5</v>
      </c>
      <c r="G8" s="100"/>
      <c r="H8" s="101" t="s">
        <v>6</v>
      </c>
      <c r="I8" s="102"/>
      <c r="J8" s="103"/>
      <c r="K8" s="104" t="s">
        <v>7</v>
      </c>
      <c r="L8" s="105"/>
      <c r="M8" s="105"/>
      <c r="N8" s="106"/>
      <c r="O8" s="20"/>
      <c r="P8" s="14"/>
    </row>
    <row r="9" spans="1:16" ht="30" customHeight="1">
      <c r="A9" s="90"/>
      <c r="B9" s="94"/>
      <c r="C9" s="95"/>
      <c r="D9" s="95"/>
      <c r="E9" s="96"/>
      <c r="F9" s="107" t="s">
        <v>8</v>
      </c>
      <c r="G9" s="108"/>
      <c r="H9" s="115" t="s">
        <v>8</v>
      </c>
      <c r="I9" s="116"/>
      <c r="J9" s="117"/>
      <c r="K9" s="118" t="s">
        <v>8</v>
      </c>
      <c r="L9" s="119"/>
      <c r="M9" s="119"/>
      <c r="N9" s="120"/>
      <c r="O9" s="21"/>
      <c r="P9" s="14"/>
    </row>
    <row r="10" spans="1:16" ht="30" customHeight="1">
      <c r="A10" s="22">
        <v>1</v>
      </c>
      <c r="B10" s="86" t="s">
        <v>52</v>
      </c>
      <c r="C10" s="87"/>
      <c r="D10" s="87"/>
      <c r="E10" s="88"/>
      <c r="F10" s="97" t="s">
        <v>53</v>
      </c>
      <c r="G10" s="98"/>
      <c r="H10" s="112" t="s">
        <v>54</v>
      </c>
      <c r="I10" s="113"/>
      <c r="J10" s="114"/>
      <c r="K10" s="109" t="s">
        <v>55</v>
      </c>
      <c r="L10" s="110"/>
      <c r="M10" s="110"/>
      <c r="N10" s="111"/>
      <c r="O10" s="17"/>
      <c r="P10" s="14"/>
    </row>
    <row r="11" spans="1:16" ht="30" customHeight="1">
      <c r="A11" s="22">
        <v>2</v>
      </c>
      <c r="B11" s="86" t="s">
        <v>56</v>
      </c>
      <c r="C11" s="87"/>
      <c r="D11" s="87"/>
      <c r="E11" s="88"/>
      <c r="F11" s="97" t="s">
        <v>57</v>
      </c>
      <c r="G11" s="98"/>
      <c r="H11" s="112" t="s">
        <v>58</v>
      </c>
      <c r="I11" s="113"/>
      <c r="J11" s="114"/>
      <c r="K11" s="109" t="s">
        <v>59</v>
      </c>
      <c r="L11" s="110"/>
      <c r="M11" s="110"/>
      <c r="N11" s="111"/>
      <c r="O11" s="17"/>
      <c r="P11" s="14"/>
    </row>
    <row r="12" spans="1:16" ht="30" customHeight="1">
      <c r="A12" s="22">
        <v>3</v>
      </c>
      <c r="B12" s="86" t="s">
        <v>60</v>
      </c>
      <c r="C12" s="87"/>
      <c r="D12" s="87"/>
      <c r="E12" s="88"/>
      <c r="F12" s="97" t="s">
        <v>61</v>
      </c>
      <c r="G12" s="98"/>
      <c r="H12" s="112" t="s">
        <v>62</v>
      </c>
      <c r="I12" s="113"/>
      <c r="J12" s="114"/>
      <c r="K12" s="109" t="s">
        <v>63</v>
      </c>
      <c r="L12" s="110"/>
      <c r="M12" s="110"/>
      <c r="N12" s="111"/>
      <c r="O12" s="17"/>
      <c r="P12" s="14"/>
    </row>
    <row r="13" spans="1:16" ht="30" customHeight="1">
      <c r="A13" s="22">
        <v>4</v>
      </c>
      <c r="B13" s="86" t="s">
        <v>64</v>
      </c>
      <c r="C13" s="87"/>
      <c r="D13" s="87"/>
      <c r="E13" s="88"/>
      <c r="F13" s="97" t="s">
        <v>65</v>
      </c>
      <c r="G13" s="98"/>
      <c r="H13" s="112" t="s">
        <v>66</v>
      </c>
      <c r="I13" s="113"/>
      <c r="J13" s="114"/>
      <c r="K13" s="109" t="s">
        <v>67</v>
      </c>
      <c r="L13" s="110"/>
      <c r="M13" s="110"/>
      <c r="N13" s="111"/>
      <c r="O13" s="17"/>
      <c r="P13" s="14"/>
    </row>
    <row r="14" spans="1:16" ht="30" customHeight="1">
      <c r="A14" s="22">
        <v>5</v>
      </c>
      <c r="B14" s="86" t="s">
        <v>68</v>
      </c>
      <c r="C14" s="87"/>
      <c r="D14" s="87"/>
      <c r="E14" s="88"/>
      <c r="F14" s="97" t="s">
        <v>69</v>
      </c>
      <c r="G14" s="98"/>
      <c r="H14" s="112" t="s">
        <v>70</v>
      </c>
      <c r="I14" s="113"/>
      <c r="J14" s="114"/>
      <c r="K14" s="109" t="s">
        <v>71</v>
      </c>
      <c r="L14" s="110"/>
      <c r="M14" s="110"/>
      <c r="N14" s="111"/>
      <c r="O14" s="17"/>
      <c r="P14" s="14"/>
    </row>
    <row r="15" spans="1:16" ht="30" customHeight="1">
      <c r="A15" s="22">
        <v>6</v>
      </c>
      <c r="B15" s="86" t="s">
        <v>72</v>
      </c>
      <c r="C15" s="87"/>
      <c r="D15" s="87"/>
      <c r="E15" s="88"/>
      <c r="F15" s="97" t="s">
        <v>73</v>
      </c>
      <c r="G15" s="98"/>
      <c r="H15" s="112" t="s">
        <v>74</v>
      </c>
      <c r="I15" s="113"/>
      <c r="J15" s="114"/>
      <c r="K15" s="109" t="s">
        <v>75</v>
      </c>
      <c r="L15" s="110"/>
      <c r="M15" s="110"/>
      <c r="N15" s="111"/>
      <c r="O15" s="17"/>
      <c r="P15" s="14"/>
    </row>
    <row r="16" spans="1:16" ht="30" customHeight="1">
      <c r="A16" s="22">
        <v>7</v>
      </c>
      <c r="B16" s="86" t="s">
        <v>76</v>
      </c>
      <c r="C16" s="87"/>
      <c r="D16" s="87"/>
      <c r="E16" s="88"/>
      <c r="F16" s="97" t="s">
        <v>77</v>
      </c>
      <c r="G16" s="98"/>
      <c r="H16" s="112" t="s">
        <v>78</v>
      </c>
      <c r="I16" s="113"/>
      <c r="J16" s="114"/>
      <c r="K16" s="109" t="s">
        <v>79</v>
      </c>
      <c r="L16" s="110"/>
      <c r="M16" s="110"/>
      <c r="N16" s="111"/>
      <c r="O16" s="17"/>
      <c r="P16" s="14"/>
    </row>
    <row r="17" spans="1:16" ht="30" customHeight="1">
      <c r="A17" s="22">
        <v>8</v>
      </c>
      <c r="B17" s="86" t="s">
        <v>80</v>
      </c>
      <c r="C17" s="87"/>
      <c r="D17" s="87"/>
      <c r="E17" s="88"/>
      <c r="F17" s="97" t="s">
        <v>81</v>
      </c>
      <c r="G17" s="98"/>
      <c r="H17" s="112" t="s">
        <v>82</v>
      </c>
      <c r="I17" s="113"/>
      <c r="J17" s="114"/>
      <c r="K17" s="109" t="s">
        <v>83</v>
      </c>
      <c r="L17" s="110"/>
      <c r="M17" s="110"/>
      <c r="N17" s="111"/>
      <c r="O17" s="17"/>
      <c r="P17" s="14"/>
    </row>
    <row r="18" spans="1:16" ht="30" customHeight="1" thickBot="1">
      <c r="A18" s="23">
        <v>9</v>
      </c>
      <c r="B18" s="127" t="s">
        <v>84</v>
      </c>
      <c r="C18" s="128"/>
      <c r="D18" s="128"/>
      <c r="E18" s="129"/>
      <c r="F18" s="130" t="s">
        <v>85</v>
      </c>
      <c r="G18" s="131"/>
      <c r="H18" s="132" t="s">
        <v>86</v>
      </c>
      <c r="I18" s="133"/>
      <c r="J18" s="134"/>
      <c r="K18" s="77" t="s">
        <v>87</v>
      </c>
      <c r="L18" s="78"/>
      <c r="M18" s="78"/>
      <c r="N18" s="79"/>
      <c r="O18" s="17"/>
      <c r="P18" s="14"/>
    </row>
    <row r="19" spans="1:16" ht="30" customHeight="1">
      <c r="A19" s="24"/>
      <c r="B19" s="76"/>
      <c r="C19" s="76"/>
      <c r="D19" s="76"/>
      <c r="E19" s="76"/>
      <c r="F19" s="76"/>
      <c r="G19" s="76"/>
      <c r="H19" s="76"/>
      <c r="I19" s="76"/>
      <c r="J19" s="76"/>
      <c r="K19" s="76"/>
      <c r="L19" s="76"/>
      <c r="M19" s="76"/>
      <c r="N19" s="76"/>
      <c r="O19" s="17"/>
      <c r="P19" s="14"/>
    </row>
    <row r="20" spans="1:16" ht="24.95" customHeight="1">
      <c r="A20" s="9"/>
      <c r="B20" s="74"/>
      <c r="C20" s="74"/>
      <c r="D20" s="74"/>
      <c r="E20" s="74"/>
      <c r="F20" s="74"/>
      <c r="G20" s="74"/>
      <c r="H20" s="9"/>
      <c r="I20" s="9"/>
      <c r="J20" s="9"/>
      <c r="K20" s="74"/>
      <c r="L20" s="74"/>
      <c r="M20" s="74"/>
      <c r="N20" s="74"/>
      <c r="O20" s="6"/>
    </row>
    <row r="21" spans="1:16" ht="24.95" customHeight="1">
      <c r="A21" s="9"/>
      <c r="B21" s="74"/>
      <c r="C21" s="74"/>
      <c r="D21" s="74"/>
      <c r="E21" s="74"/>
      <c r="F21" s="74"/>
      <c r="G21" s="74"/>
      <c r="H21" s="9"/>
      <c r="I21" s="9"/>
      <c r="J21" s="9"/>
      <c r="K21" s="74"/>
      <c r="L21" s="74"/>
      <c r="M21" s="74"/>
      <c r="N21" s="74"/>
      <c r="O21" s="6"/>
    </row>
    <row r="22" spans="1:16" ht="24.95" customHeight="1">
      <c r="A22" s="9"/>
      <c r="B22" s="74"/>
      <c r="C22" s="74"/>
      <c r="D22" s="74"/>
      <c r="E22" s="74"/>
      <c r="F22" s="74"/>
      <c r="G22" s="74"/>
      <c r="H22" s="9"/>
      <c r="I22" s="9"/>
      <c r="J22" s="9"/>
      <c r="K22" s="74"/>
      <c r="L22" s="74"/>
      <c r="M22" s="74"/>
      <c r="N22" s="74"/>
      <c r="O22" s="6"/>
    </row>
    <row r="23" spans="1:16" ht="24.95" customHeight="1">
      <c r="A23" s="9"/>
      <c r="B23" s="74"/>
      <c r="C23" s="74"/>
      <c r="D23" s="74"/>
      <c r="E23" s="74"/>
      <c r="F23" s="74"/>
      <c r="G23" s="74"/>
      <c r="H23" s="9"/>
      <c r="I23" s="9"/>
      <c r="J23" s="9"/>
      <c r="K23" s="74"/>
      <c r="L23" s="74"/>
      <c r="M23" s="74"/>
      <c r="N23" s="74"/>
      <c r="O23" s="6"/>
    </row>
    <row r="24" spans="1:16" ht="24.95" customHeight="1">
      <c r="A24" s="9"/>
      <c r="B24" s="74"/>
      <c r="C24" s="74"/>
      <c r="D24" s="74"/>
      <c r="E24" s="74"/>
      <c r="F24" s="74"/>
      <c r="G24" s="74"/>
      <c r="H24" s="9"/>
      <c r="I24" s="9"/>
      <c r="J24" s="9"/>
      <c r="K24" s="74"/>
      <c r="L24" s="74"/>
      <c r="M24" s="74"/>
      <c r="N24" s="74"/>
      <c r="O24" s="6"/>
    </row>
    <row r="25" spans="1:16" ht="24.95" customHeight="1">
      <c r="A25" s="9"/>
      <c r="B25" s="74"/>
      <c r="C25" s="74"/>
      <c r="D25" s="74"/>
      <c r="E25" s="74"/>
      <c r="F25" s="74"/>
      <c r="G25" s="74"/>
      <c r="H25" s="9"/>
      <c r="I25" s="9"/>
      <c r="J25" s="9"/>
      <c r="K25" s="74"/>
      <c r="L25" s="74"/>
      <c r="M25" s="74"/>
      <c r="N25" s="74"/>
      <c r="O25" s="6"/>
    </row>
    <row r="26" spans="1:16" ht="24.95" customHeight="1">
      <c r="A26" s="4"/>
      <c r="B26" s="74"/>
      <c r="C26" s="74"/>
      <c r="D26" s="74"/>
      <c r="E26" s="74"/>
      <c r="F26" s="74"/>
      <c r="G26" s="74"/>
      <c r="H26" s="4"/>
      <c r="I26" s="4"/>
      <c r="J26" s="6"/>
      <c r="K26" s="6"/>
      <c r="L26" s="6"/>
      <c r="M26" s="6"/>
      <c r="N26" s="6"/>
      <c r="O26" s="6"/>
      <c r="P26" s="5"/>
    </row>
    <row r="27" spans="1:16" ht="15" customHeight="1">
      <c r="A27" s="121"/>
      <c r="B27" s="121"/>
      <c r="C27" s="122"/>
      <c r="D27" s="122"/>
      <c r="E27" s="122"/>
      <c r="F27" s="122"/>
      <c r="G27" s="122"/>
      <c r="H27" s="122"/>
      <c r="I27" s="122"/>
      <c r="J27" s="122"/>
      <c r="K27" s="122"/>
      <c r="L27" s="122"/>
      <c r="M27" s="122"/>
      <c r="N27" s="122"/>
      <c r="O27" s="122"/>
      <c r="P27" s="122"/>
    </row>
    <row r="28" spans="1:16" ht="15" customHeight="1">
      <c r="A28" s="121"/>
      <c r="B28" s="121"/>
      <c r="C28" s="122"/>
      <c r="D28" s="122"/>
      <c r="E28" s="122"/>
      <c r="F28" s="122"/>
      <c r="G28" s="122"/>
      <c r="H28" s="122"/>
      <c r="I28" s="122"/>
      <c r="J28" s="122"/>
      <c r="K28" s="122"/>
      <c r="L28" s="122"/>
      <c r="M28" s="122"/>
      <c r="N28" s="122"/>
      <c r="O28" s="122"/>
      <c r="P28" s="122"/>
    </row>
    <row r="29" spans="1:16" ht="15" customHeight="1">
      <c r="A29" s="121"/>
      <c r="B29" s="121"/>
      <c r="C29" s="123"/>
      <c r="D29" s="123"/>
      <c r="E29" s="123"/>
      <c r="F29" s="123"/>
      <c r="G29" s="123"/>
      <c r="H29" s="123"/>
      <c r="I29" s="123"/>
      <c r="J29" s="123"/>
      <c r="K29" s="123"/>
      <c r="L29" s="123"/>
      <c r="M29" s="123"/>
      <c r="N29" s="123"/>
      <c r="O29" s="123"/>
      <c r="P29" s="123"/>
    </row>
    <row r="30" spans="1:16" ht="15" customHeight="1">
      <c r="A30" s="121"/>
      <c r="B30" s="121"/>
      <c r="C30" s="123"/>
      <c r="D30" s="123"/>
      <c r="E30" s="123"/>
      <c r="F30" s="123"/>
      <c r="G30" s="123"/>
      <c r="H30" s="123"/>
      <c r="I30" s="123"/>
      <c r="J30" s="123"/>
      <c r="K30" s="123"/>
      <c r="L30" s="123"/>
      <c r="M30" s="123"/>
      <c r="N30" s="123"/>
      <c r="O30" s="123"/>
      <c r="P30" s="123"/>
    </row>
    <row r="31" spans="1:16" ht="15" customHeight="1">
      <c r="A31" s="121"/>
      <c r="B31" s="121"/>
      <c r="C31" s="5"/>
      <c r="D31" s="5"/>
      <c r="E31" s="5"/>
      <c r="F31" s="5"/>
      <c r="G31" s="5"/>
      <c r="H31" s="5"/>
      <c r="I31" s="5"/>
      <c r="J31" s="5"/>
      <c r="K31" s="5"/>
      <c r="L31" s="5"/>
      <c r="M31" s="5"/>
      <c r="N31" s="5"/>
      <c r="O31" s="5"/>
      <c r="P31" s="5"/>
    </row>
    <row r="32" spans="1:16" ht="24.75" customHeight="1">
      <c r="A32" s="124"/>
      <c r="B32" s="124"/>
      <c r="C32" s="124"/>
      <c r="D32" s="10"/>
      <c r="E32" s="124"/>
      <c r="F32" s="124"/>
      <c r="G32" s="124"/>
      <c r="H32" s="124"/>
      <c r="I32" s="124"/>
      <c r="J32" s="124"/>
      <c r="K32" s="124"/>
      <c r="L32" s="5"/>
      <c r="M32" s="125"/>
      <c r="N32" s="125"/>
      <c r="O32" s="125"/>
      <c r="P32" s="5"/>
    </row>
    <row r="33" spans="1:16" ht="15" customHeight="1">
      <c r="A33" s="2"/>
      <c r="B33" s="3"/>
      <c r="C33" s="2"/>
      <c r="D33" s="2"/>
      <c r="E33" s="2"/>
      <c r="F33" s="2"/>
      <c r="G33" s="1"/>
      <c r="H33" s="1"/>
      <c r="I33" s="5"/>
      <c r="J33" s="5"/>
      <c r="K33" s="5"/>
      <c r="L33" s="5"/>
      <c r="M33" s="5"/>
      <c r="N33" s="5"/>
      <c r="O33" s="5"/>
      <c r="P33" s="5"/>
    </row>
    <row r="34" spans="1:16" ht="24.95" customHeight="1">
      <c r="A34" s="126"/>
      <c r="B34" s="75"/>
      <c r="C34" s="75"/>
      <c r="D34" s="75"/>
      <c r="E34" s="75"/>
      <c r="F34" s="75"/>
      <c r="G34" s="75"/>
      <c r="H34" s="75"/>
      <c r="I34" s="75"/>
      <c r="J34" s="75"/>
      <c r="K34" s="75"/>
      <c r="L34" s="75"/>
      <c r="M34" s="75"/>
      <c r="N34" s="75"/>
      <c r="O34" s="8"/>
      <c r="P34" s="5"/>
    </row>
    <row r="35" spans="1:16" ht="31.5" customHeight="1">
      <c r="A35" s="126"/>
      <c r="B35" s="75"/>
      <c r="C35" s="75"/>
      <c r="D35" s="75"/>
      <c r="E35" s="75"/>
      <c r="F35" s="75"/>
      <c r="G35" s="75"/>
      <c r="H35" s="11"/>
      <c r="I35" s="12"/>
      <c r="J35" s="11"/>
      <c r="K35" s="75"/>
      <c r="L35" s="75"/>
      <c r="M35" s="75"/>
      <c r="N35" s="75"/>
      <c r="O35" s="7"/>
      <c r="P35" s="5"/>
    </row>
    <row r="36" spans="1:16" ht="24.95" customHeight="1">
      <c r="A36" s="9"/>
      <c r="B36" s="74"/>
      <c r="C36" s="74"/>
      <c r="D36" s="74"/>
      <c r="E36" s="74"/>
      <c r="F36" s="74"/>
      <c r="G36" s="74"/>
      <c r="H36" s="9"/>
      <c r="I36" s="9"/>
      <c r="J36" s="9"/>
      <c r="K36" s="74"/>
      <c r="L36" s="74"/>
      <c r="M36" s="74"/>
      <c r="N36" s="74"/>
      <c r="O36" s="9"/>
      <c r="P36" s="5"/>
    </row>
    <row r="37" spans="1:16" ht="24.95" customHeight="1">
      <c r="A37" s="9"/>
      <c r="B37" s="74"/>
      <c r="C37" s="74"/>
      <c r="D37" s="74"/>
      <c r="E37" s="74"/>
      <c r="F37" s="74"/>
      <c r="G37" s="74"/>
      <c r="H37" s="9"/>
      <c r="I37" s="9"/>
      <c r="J37" s="9"/>
      <c r="K37" s="74"/>
      <c r="L37" s="74"/>
      <c r="M37" s="74"/>
      <c r="N37" s="74"/>
      <c r="O37" s="9"/>
      <c r="P37" s="5"/>
    </row>
    <row r="38" spans="1:16" ht="24.95" customHeight="1">
      <c r="A38" s="9"/>
      <c r="B38" s="74"/>
      <c r="C38" s="74"/>
      <c r="D38" s="74"/>
      <c r="E38" s="74"/>
      <c r="F38" s="74"/>
      <c r="G38" s="74"/>
      <c r="H38" s="9"/>
      <c r="I38" s="9"/>
      <c r="J38" s="9"/>
      <c r="K38" s="74"/>
      <c r="L38" s="74"/>
      <c r="M38" s="74"/>
      <c r="N38" s="74"/>
      <c r="O38" s="9"/>
      <c r="P38" s="5"/>
    </row>
    <row r="39" spans="1:16" ht="24.95" customHeight="1">
      <c r="A39" s="9"/>
      <c r="B39" s="74"/>
      <c r="C39" s="74"/>
      <c r="D39" s="74"/>
      <c r="E39" s="74"/>
      <c r="F39" s="74"/>
      <c r="G39" s="74"/>
      <c r="H39" s="9"/>
      <c r="I39" s="9"/>
      <c r="J39" s="9"/>
      <c r="K39" s="74"/>
      <c r="L39" s="74"/>
      <c r="M39" s="74"/>
      <c r="N39" s="74"/>
      <c r="O39" s="9"/>
      <c r="P39" s="5"/>
    </row>
    <row r="40" spans="1:16" ht="24.95" customHeight="1">
      <c r="A40" s="9"/>
      <c r="B40" s="74"/>
      <c r="C40" s="74"/>
      <c r="D40" s="74"/>
      <c r="E40" s="74"/>
      <c r="F40" s="74"/>
      <c r="G40" s="74"/>
      <c r="H40" s="9"/>
      <c r="I40" s="9"/>
      <c r="J40" s="9"/>
      <c r="K40" s="74"/>
      <c r="L40" s="74"/>
      <c r="M40" s="74"/>
      <c r="N40" s="74"/>
      <c r="O40" s="9"/>
      <c r="P40" s="5"/>
    </row>
    <row r="41" spans="1:16" ht="24.95" customHeight="1">
      <c r="A41" s="9"/>
      <c r="B41" s="74"/>
      <c r="C41" s="74"/>
      <c r="D41" s="74"/>
      <c r="E41" s="74"/>
      <c r="F41" s="74"/>
      <c r="G41" s="74"/>
      <c r="H41" s="9"/>
      <c r="I41" s="9"/>
      <c r="J41" s="9"/>
      <c r="K41" s="74"/>
      <c r="L41" s="74"/>
      <c r="M41" s="74"/>
      <c r="N41" s="74"/>
      <c r="O41" s="9"/>
      <c r="P41" s="5"/>
    </row>
    <row r="42" spans="1:16" ht="24.95" customHeight="1">
      <c r="A42" s="9"/>
      <c r="B42" s="74"/>
      <c r="C42" s="74"/>
      <c r="D42" s="74"/>
      <c r="E42" s="74"/>
      <c r="F42" s="74"/>
      <c r="G42" s="74"/>
      <c r="H42" s="9"/>
      <c r="I42" s="9"/>
      <c r="J42" s="9"/>
      <c r="K42" s="74"/>
      <c r="L42" s="74"/>
      <c r="M42" s="74"/>
      <c r="N42" s="74"/>
      <c r="O42" s="9"/>
      <c r="P42" s="5"/>
    </row>
    <row r="43" spans="1:16" ht="24.95" customHeight="1">
      <c r="A43" s="9"/>
      <c r="B43" s="74"/>
      <c r="C43" s="74"/>
      <c r="D43" s="74"/>
      <c r="E43" s="74"/>
      <c r="F43" s="74"/>
      <c r="G43" s="74"/>
      <c r="H43" s="9"/>
      <c r="I43" s="9"/>
      <c r="J43" s="9"/>
      <c r="K43" s="74"/>
      <c r="L43" s="74"/>
      <c r="M43" s="74"/>
      <c r="N43" s="74"/>
      <c r="O43" s="9"/>
      <c r="P43" s="5"/>
    </row>
    <row r="44" spans="1:16" ht="24.95" customHeight="1">
      <c r="A44" s="9"/>
      <c r="B44" s="74"/>
      <c r="C44" s="74"/>
      <c r="D44" s="74"/>
      <c r="E44" s="74"/>
      <c r="F44" s="74"/>
      <c r="G44" s="74"/>
      <c r="H44" s="9"/>
      <c r="I44" s="9"/>
      <c r="J44" s="9"/>
      <c r="K44" s="74"/>
      <c r="L44" s="74"/>
      <c r="M44" s="74"/>
      <c r="N44" s="74"/>
      <c r="O44" s="9"/>
      <c r="P44" s="5"/>
    </row>
    <row r="45" spans="1:16" ht="24.95" customHeight="1">
      <c r="A45" s="9"/>
      <c r="B45" s="74"/>
      <c r="C45" s="74"/>
      <c r="D45" s="74"/>
      <c r="E45" s="74"/>
      <c r="F45" s="74"/>
      <c r="G45" s="74"/>
      <c r="H45" s="9"/>
      <c r="I45" s="9"/>
      <c r="J45" s="9"/>
      <c r="K45" s="74"/>
      <c r="L45" s="74"/>
      <c r="M45" s="74"/>
      <c r="N45" s="74"/>
      <c r="O45" s="9"/>
      <c r="P45" s="5"/>
    </row>
    <row r="46" spans="1:16" ht="24.95" customHeight="1">
      <c r="A46" s="9"/>
      <c r="B46" s="74"/>
      <c r="C46" s="74"/>
      <c r="D46" s="74"/>
      <c r="E46" s="74"/>
      <c r="F46" s="74"/>
      <c r="G46" s="74"/>
      <c r="H46" s="9"/>
      <c r="I46" s="9"/>
      <c r="J46" s="9"/>
      <c r="K46" s="74"/>
      <c r="L46" s="74"/>
      <c r="M46" s="74"/>
      <c r="N46" s="74"/>
      <c r="O46" s="9"/>
      <c r="P46" s="5"/>
    </row>
    <row r="47" spans="1:16" ht="24.95" customHeight="1">
      <c r="A47" s="9"/>
      <c r="B47" s="74"/>
      <c r="C47" s="74"/>
      <c r="D47" s="74"/>
      <c r="E47" s="74"/>
      <c r="F47" s="74"/>
      <c r="G47" s="74"/>
      <c r="H47" s="9"/>
      <c r="I47" s="9"/>
      <c r="J47" s="9"/>
      <c r="K47" s="74"/>
      <c r="L47" s="74"/>
      <c r="M47" s="74"/>
      <c r="N47" s="74"/>
      <c r="O47" s="9"/>
      <c r="P47" s="5"/>
    </row>
    <row r="48" spans="1:16" ht="24.95" customHeight="1">
      <c r="A48" s="9"/>
      <c r="B48" s="74"/>
      <c r="C48" s="74"/>
      <c r="D48" s="74"/>
      <c r="E48" s="74"/>
      <c r="F48" s="74"/>
      <c r="G48" s="74"/>
      <c r="H48" s="9"/>
      <c r="I48" s="9"/>
      <c r="J48" s="9"/>
      <c r="K48" s="74"/>
      <c r="L48" s="74"/>
      <c r="M48" s="74"/>
      <c r="N48" s="74"/>
      <c r="O48" s="9"/>
      <c r="P48" s="5"/>
    </row>
    <row r="49" spans="1:16" ht="24.95" customHeight="1">
      <c r="A49" s="9"/>
      <c r="B49" s="74"/>
      <c r="C49" s="74"/>
      <c r="D49" s="74"/>
      <c r="E49" s="74"/>
      <c r="F49" s="74"/>
      <c r="G49" s="74"/>
      <c r="H49" s="9"/>
      <c r="I49" s="9"/>
      <c r="J49" s="9"/>
      <c r="K49" s="74"/>
      <c r="L49" s="74"/>
      <c r="M49" s="74"/>
      <c r="N49" s="74"/>
      <c r="O49" s="9"/>
      <c r="P49" s="5"/>
    </row>
    <row r="50" spans="1:16">
      <c r="A50" s="5"/>
      <c r="B50" s="5"/>
      <c r="C50" s="5"/>
      <c r="D50" s="5"/>
      <c r="E50" s="5"/>
      <c r="F50" s="5"/>
      <c r="G50" s="5"/>
      <c r="H50" s="5"/>
      <c r="I50" s="5"/>
      <c r="J50" s="5"/>
      <c r="K50" s="5"/>
      <c r="L50" s="5"/>
      <c r="M50" s="5"/>
      <c r="N50" s="5"/>
      <c r="O50" s="5"/>
      <c r="P50" s="5"/>
    </row>
    <row r="51" spans="1:16">
      <c r="A51" s="136"/>
      <c r="B51" s="136"/>
      <c r="C51" s="136"/>
      <c r="D51" s="136"/>
      <c r="E51" s="136"/>
      <c r="F51" s="136"/>
      <c r="G51" s="136"/>
      <c r="H51" s="13"/>
      <c r="I51" s="13"/>
      <c r="J51" s="135"/>
      <c r="K51" s="135"/>
      <c r="L51" s="135"/>
      <c r="M51" s="135"/>
      <c r="N51" s="5"/>
      <c r="O51" s="5"/>
      <c r="P51" s="5"/>
    </row>
    <row r="52" spans="1:16">
      <c r="A52" s="5"/>
      <c r="B52" s="5"/>
      <c r="C52" s="5"/>
      <c r="D52" s="5"/>
      <c r="E52" s="5"/>
      <c r="F52" s="5"/>
      <c r="G52" s="5"/>
      <c r="H52" s="5"/>
      <c r="I52" s="5"/>
      <c r="J52" s="5"/>
      <c r="K52" s="5"/>
      <c r="L52" s="5"/>
      <c r="M52" s="5"/>
      <c r="N52" s="5"/>
      <c r="O52" s="5"/>
      <c r="P52" s="5"/>
    </row>
  </sheetData>
  <mergeCells count="132">
    <mergeCell ref="H6:L6"/>
    <mergeCell ref="H18:J18"/>
    <mergeCell ref="H19:J19"/>
    <mergeCell ref="B37:E37"/>
    <mergeCell ref="J51:M51"/>
    <mergeCell ref="B49:E49"/>
    <mergeCell ref="F49:G49"/>
    <mergeCell ref="H34:J34"/>
    <mergeCell ref="F24:G24"/>
    <mergeCell ref="F25:G25"/>
    <mergeCell ref="F26:G26"/>
    <mergeCell ref="A51:D51"/>
    <mergeCell ref="E51:G51"/>
    <mergeCell ref="B25:E25"/>
    <mergeCell ref="B26:E26"/>
    <mergeCell ref="B46:E46"/>
    <mergeCell ref="F46:G46"/>
    <mergeCell ref="F36:G36"/>
    <mergeCell ref="B38:E38"/>
    <mergeCell ref="B47:E47"/>
    <mergeCell ref="F47:G47"/>
    <mergeCell ref="B48:E48"/>
    <mergeCell ref="F48:G48"/>
    <mergeCell ref="F40:G40"/>
    <mergeCell ref="F23:G23"/>
    <mergeCell ref="B23:E23"/>
    <mergeCell ref="B21:E21"/>
    <mergeCell ref="B22:E22"/>
    <mergeCell ref="B15:E15"/>
    <mergeCell ref="B16:E16"/>
    <mergeCell ref="B17:E17"/>
    <mergeCell ref="B18:E18"/>
    <mergeCell ref="B19:E19"/>
    <mergeCell ref="B20:E20"/>
    <mergeCell ref="F18:G18"/>
    <mergeCell ref="F19:G19"/>
    <mergeCell ref="F20:G20"/>
    <mergeCell ref="F21:G21"/>
    <mergeCell ref="F22:G22"/>
    <mergeCell ref="F42:G42"/>
    <mergeCell ref="F43:G43"/>
    <mergeCell ref="F44:G44"/>
    <mergeCell ref="F45:G45"/>
    <mergeCell ref="B40:E40"/>
    <mergeCell ref="B41:E41"/>
    <mergeCell ref="B42:E42"/>
    <mergeCell ref="B43:E43"/>
    <mergeCell ref="B44:E44"/>
    <mergeCell ref="B45:E45"/>
    <mergeCell ref="F41:G41"/>
    <mergeCell ref="H9:J9"/>
    <mergeCell ref="K9:N9"/>
    <mergeCell ref="B39:E39"/>
    <mergeCell ref="F37:G37"/>
    <mergeCell ref="F38:G38"/>
    <mergeCell ref="F39:G39"/>
    <mergeCell ref="B36:E36"/>
    <mergeCell ref="A27:B31"/>
    <mergeCell ref="C27:P28"/>
    <mergeCell ref="C29:P30"/>
    <mergeCell ref="A32:C32"/>
    <mergeCell ref="E32:G32"/>
    <mergeCell ref="H32:K32"/>
    <mergeCell ref="M32:O32"/>
    <mergeCell ref="A34:A35"/>
    <mergeCell ref="B34:E35"/>
    <mergeCell ref="F34:G35"/>
    <mergeCell ref="H10:J10"/>
    <mergeCell ref="H11:J11"/>
    <mergeCell ref="H12:J12"/>
    <mergeCell ref="H13:J13"/>
    <mergeCell ref="H14:J14"/>
    <mergeCell ref="H15:J15"/>
    <mergeCell ref="B24:E24"/>
    <mergeCell ref="K12:N12"/>
    <mergeCell ref="K13:N13"/>
    <mergeCell ref="F15:G15"/>
    <mergeCell ref="F16:G16"/>
    <mergeCell ref="F17:G17"/>
    <mergeCell ref="H16:J16"/>
    <mergeCell ref="H17:J17"/>
    <mergeCell ref="K14:N14"/>
    <mergeCell ref="K15:N15"/>
    <mergeCell ref="K16:N16"/>
    <mergeCell ref="K17:N17"/>
    <mergeCell ref="F13:G13"/>
    <mergeCell ref="K18:N18"/>
    <mergeCell ref="E6:G6"/>
    <mergeCell ref="A6:C6"/>
    <mergeCell ref="C1:P2"/>
    <mergeCell ref="C3:P4"/>
    <mergeCell ref="M6:O6"/>
    <mergeCell ref="A1:B5"/>
    <mergeCell ref="B14:E14"/>
    <mergeCell ref="A8:A9"/>
    <mergeCell ref="B8:E9"/>
    <mergeCell ref="F14:G14"/>
    <mergeCell ref="B10:E10"/>
    <mergeCell ref="B11:E11"/>
    <mergeCell ref="B12:E12"/>
    <mergeCell ref="B13:E13"/>
    <mergeCell ref="F10:G10"/>
    <mergeCell ref="F11:G11"/>
    <mergeCell ref="F12:G12"/>
    <mergeCell ref="F8:G8"/>
    <mergeCell ref="H8:J8"/>
    <mergeCell ref="K8:N8"/>
    <mergeCell ref="F9:G9"/>
    <mergeCell ref="K10:N10"/>
    <mergeCell ref="K11:N11"/>
    <mergeCell ref="K24:N24"/>
    <mergeCell ref="K25:N25"/>
    <mergeCell ref="K34:N35"/>
    <mergeCell ref="K36:N36"/>
    <mergeCell ref="K37:N37"/>
    <mergeCell ref="K19:N19"/>
    <mergeCell ref="K20:N20"/>
    <mergeCell ref="K21:N21"/>
    <mergeCell ref="K22:N22"/>
    <mergeCell ref="K23:N23"/>
    <mergeCell ref="K48:N48"/>
    <mergeCell ref="K49:N49"/>
    <mergeCell ref="K43:N43"/>
    <mergeCell ref="K44:N44"/>
    <mergeCell ref="K45:N45"/>
    <mergeCell ref="K46:N46"/>
    <mergeCell ref="K47:N47"/>
    <mergeCell ref="K38:N38"/>
    <mergeCell ref="K39:N39"/>
    <mergeCell ref="K40:N40"/>
    <mergeCell ref="K41:N41"/>
    <mergeCell ref="K42:N42"/>
  </mergeCells>
  <printOptions horizontalCentered="1" verticalCentered="1"/>
  <pageMargins left="3.937007874015748E-2" right="3.937007874015748E-2" top="0.19685039370078741" bottom="0" header="0.19685039370078741" footer="0"/>
  <pageSetup paperSize="9" orientation="landscape" horizontalDpi="0" verticalDpi="0" r:id="rId1"/>
  <headerFooter>
    <oddFooter>Page &amp;P</oddFooter>
  </headerFooter>
  <drawing r:id="rId2"/>
</worksheet>
</file>

<file path=xl/worksheets/sheet2.xml><?xml version="1.0" encoding="utf-8"?>
<worksheet xmlns="http://schemas.openxmlformats.org/spreadsheetml/2006/main" xmlns:r="http://schemas.openxmlformats.org/officeDocument/2006/relationships">
  <dimension ref="A1:S129"/>
  <sheetViews>
    <sheetView zoomScale="70" zoomScaleNormal="70" workbookViewId="0">
      <selection activeCell="N97" sqref="N97"/>
    </sheetView>
  </sheetViews>
  <sheetFormatPr defaultRowHeight="15"/>
  <cols>
    <col min="1" max="19" width="11.7109375" customWidth="1"/>
  </cols>
  <sheetData>
    <row r="1" spans="1:19" ht="15" customHeight="1">
      <c r="A1" s="142" t="s">
        <v>9</v>
      </c>
      <c r="B1" s="143"/>
      <c r="C1" s="143"/>
      <c r="D1" s="143"/>
      <c r="E1" s="143"/>
      <c r="F1" s="143"/>
      <c r="G1" s="143"/>
      <c r="H1" s="143"/>
      <c r="I1" s="143"/>
      <c r="J1" s="143"/>
      <c r="K1" s="143"/>
      <c r="L1" s="143"/>
      <c r="M1" s="143"/>
      <c r="N1" s="143"/>
      <c r="O1" s="143"/>
      <c r="P1" s="143"/>
      <c r="Q1" s="143"/>
      <c r="R1" s="143"/>
      <c r="S1" s="144"/>
    </row>
    <row r="2" spans="1:19" ht="15.75" customHeight="1">
      <c r="A2" s="145"/>
      <c r="B2" s="146"/>
      <c r="C2" s="146"/>
      <c r="D2" s="146"/>
      <c r="E2" s="146"/>
      <c r="F2" s="146"/>
      <c r="G2" s="146"/>
      <c r="H2" s="146"/>
      <c r="I2" s="146"/>
      <c r="J2" s="146"/>
      <c r="K2" s="146"/>
      <c r="L2" s="146"/>
      <c r="M2" s="146"/>
      <c r="N2" s="146"/>
      <c r="O2" s="146"/>
      <c r="P2" s="146"/>
      <c r="Q2" s="146"/>
      <c r="R2" s="146"/>
      <c r="S2" s="147"/>
    </row>
    <row r="3" spans="1:19">
      <c r="A3" s="152" t="s">
        <v>15</v>
      </c>
      <c r="B3" s="137" t="s">
        <v>10</v>
      </c>
      <c r="C3" s="137"/>
      <c r="D3" s="137" t="s">
        <v>10</v>
      </c>
      <c r="E3" s="137"/>
      <c r="F3" s="137" t="s">
        <v>10</v>
      </c>
      <c r="G3" s="137"/>
      <c r="H3" s="137" t="s">
        <v>10</v>
      </c>
      <c r="I3" s="137"/>
      <c r="J3" s="137" t="s">
        <v>10</v>
      </c>
      <c r="K3" s="137"/>
      <c r="L3" s="137" t="s">
        <v>10</v>
      </c>
      <c r="M3" s="137"/>
      <c r="N3" s="137" t="s">
        <v>10</v>
      </c>
      <c r="O3" s="137"/>
      <c r="P3" s="137" t="s">
        <v>10</v>
      </c>
      <c r="Q3" s="148"/>
      <c r="R3" s="137" t="s">
        <v>10</v>
      </c>
      <c r="S3" s="138"/>
    </row>
    <row r="4" spans="1:19" ht="20.100000000000001" customHeight="1">
      <c r="A4" s="152"/>
      <c r="B4" s="139" t="str">
        <f>TABELA!F10</f>
        <v>BOJAN GOVEDARICA</v>
      </c>
      <c r="C4" s="139"/>
      <c r="D4" s="139" t="str">
        <f>TABELA!F11</f>
        <v>VLATKO PEKOVIĆ</v>
      </c>
      <c r="E4" s="139"/>
      <c r="F4" s="139" t="str">
        <f>TABELA!F12</f>
        <v>BOŠKO VULEVIĆ</v>
      </c>
      <c r="G4" s="139"/>
      <c r="H4" s="139" t="str">
        <f>TABELA!F13</f>
        <v>ORHAN BAŠIĆ</v>
      </c>
      <c r="I4" s="139"/>
      <c r="J4" s="139" t="str">
        <f>TABELA!F14</f>
        <v>MILAN FUŠTIĆ</v>
      </c>
      <c r="K4" s="139"/>
      <c r="L4" s="139" t="str">
        <f>TABELA!F15</f>
        <v>RADOVAN KRKOVIĆ</v>
      </c>
      <c r="M4" s="139"/>
      <c r="N4" s="139" t="str">
        <f>TABELA!F16</f>
        <v>NIKOLA ĐALOVIĆ</v>
      </c>
      <c r="O4" s="139"/>
      <c r="P4" s="139" t="str">
        <f>TABELA!F17</f>
        <v>KEMAL AJANOVIĆ</v>
      </c>
      <c r="Q4" s="151"/>
      <c r="R4" s="139" t="str">
        <f>TABELA!F18</f>
        <v>NIKOLA POPOVIĆ</v>
      </c>
      <c r="S4" s="140"/>
    </row>
    <row r="5" spans="1:19">
      <c r="A5" s="152"/>
      <c r="B5" s="25" t="s">
        <v>12</v>
      </c>
      <c r="C5" s="25" t="s">
        <v>13</v>
      </c>
      <c r="D5" s="25" t="s">
        <v>12</v>
      </c>
      <c r="E5" s="25" t="s">
        <v>13</v>
      </c>
      <c r="F5" s="25" t="s">
        <v>12</v>
      </c>
      <c r="G5" s="25" t="s">
        <v>13</v>
      </c>
      <c r="H5" s="25" t="s">
        <v>12</v>
      </c>
      <c r="I5" s="25" t="s">
        <v>13</v>
      </c>
      <c r="J5" s="25" t="s">
        <v>12</v>
      </c>
      <c r="K5" s="25" t="s">
        <v>13</v>
      </c>
      <c r="L5" s="25" t="s">
        <v>12</v>
      </c>
      <c r="M5" s="25" t="s">
        <v>13</v>
      </c>
      <c r="N5" s="25" t="s">
        <v>12</v>
      </c>
      <c r="O5" s="25" t="s">
        <v>13</v>
      </c>
      <c r="P5" s="25" t="s">
        <v>12</v>
      </c>
      <c r="Q5" s="26" t="s">
        <v>13</v>
      </c>
      <c r="R5" s="25" t="s">
        <v>12</v>
      </c>
      <c r="S5" s="27" t="s">
        <v>13</v>
      </c>
    </row>
    <row r="6" spans="1:19">
      <c r="A6" s="28">
        <v>1</v>
      </c>
      <c r="B6" s="25">
        <v>32</v>
      </c>
      <c r="C6" s="25">
        <f>IF(B6,B6*20+100,0)</f>
        <v>740</v>
      </c>
      <c r="D6" s="25">
        <v>28</v>
      </c>
      <c r="E6" s="25">
        <f>IF(D6,D6*20+100,0)</f>
        <v>660</v>
      </c>
      <c r="F6" s="25">
        <v>45</v>
      </c>
      <c r="G6" s="25">
        <f>IF(F6,F6*20+100,0)</f>
        <v>1000</v>
      </c>
      <c r="H6" s="25"/>
      <c r="I6" s="25">
        <f>IF(H6,H6*20+100,0)</f>
        <v>0</v>
      </c>
      <c r="J6" s="25">
        <v>26</v>
      </c>
      <c r="K6" s="25">
        <f>IF(J6,J6*20+100,0)</f>
        <v>620</v>
      </c>
      <c r="L6" s="25">
        <v>27</v>
      </c>
      <c r="M6" s="25">
        <f>IF(L6,L6*20+100,0)</f>
        <v>640</v>
      </c>
      <c r="N6" s="25">
        <v>20</v>
      </c>
      <c r="O6" s="25">
        <f>IF(N6,N6*20+100,0)</f>
        <v>500</v>
      </c>
      <c r="P6" s="25">
        <v>21</v>
      </c>
      <c r="Q6" s="26">
        <f>IF(P6,P6*20+100,0)</f>
        <v>520</v>
      </c>
      <c r="R6" s="25"/>
      <c r="S6" s="27">
        <f>IF(R6,R6*20+100,0)</f>
        <v>0</v>
      </c>
    </row>
    <row r="7" spans="1:19">
      <c r="A7" s="28">
        <v>2</v>
      </c>
      <c r="B7" s="25">
        <v>28</v>
      </c>
      <c r="C7" s="25">
        <f t="shared" ref="C7:C35" si="0">IF(B7,B7*20+100,0)</f>
        <v>660</v>
      </c>
      <c r="D7" s="25">
        <v>20</v>
      </c>
      <c r="E7" s="25">
        <f t="shared" ref="E7:E35" si="1">IF(D7,D7*20+100,0)</f>
        <v>500</v>
      </c>
      <c r="F7" s="25">
        <v>20</v>
      </c>
      <c r="G7" s="25">
        <f t="shared" ref="G7:G35" si="2">IF(F7,F7*20+100,0)</f>
        <v>500</v>
      </c>
      <c r="H7" s="25"/>
      <c r="I7" s="25">
        <f t="shared" ref="I7:I35" si="3">IF(H7,H7*20+100,0)</f>
        <v>0</v>
      </c>
      <c r="J7" s="25">
        <v>21</v>
      </c>
      <c r="K7" s="25">
        <f t="shared" ref="K7:K35" si="4">IF(J7,J7*20+100,0)</f>
        <v>520</v>
      </c>
      <c r="L7" s="25">
        <v>25</v>
      </c>
      <c r="M7" s="25">
        <f t="shared" ref="M7:M35" si="5">IF(L7,L7*20+100,0)</f>
        <v>600</v>
      </c>
      <c r="N7" s="25">
        <v>27</v>
      </c>
      <c r="O7" s="25">
        <f t="shared" ref="O7:O35" si="6">IF(N7,N7*20+100,0)</f>
        <v>640</v>
      </c>
      <c r="P7" s="25"/>
      <c r="Q7" s="26">
        <f t="shared" ref="Q7:Q35" si="7">IF(P7,P7*20+100,0)</f>
        <v>0</v>
      </c>
      <c r="R7" s="25"/>
      <c r="S7" s="27">
        <f t="shared" ref="S7:S35" si="8">IF(R7,R7*20+100,0)</f>
        <v>0</v>
      </c>
    </row>
    <row r="8" spans="1:19">
      <c r="A8" s="28">
        <v>3</v>
      </c>
      <c r="B8" s="25">
        <v>24</v>
      </c>
      <c r="C8" s="25">
        <f t="shared" si="0"/>
        <v>580</v>
      </c>
      <c r="D8" s="25">
        <v>20</v>
      </c>
      <c r="E8" s="25">
        <f t="shared" si="1"/>
        <v>500</v>
      </c>
      <c r="F8" s="25">
        <v>30</v>
      </c>
      <c r="G8" s="25">
        <f t="shared" si="2"/>
        <v>700</v>
      </c>
      <c r="H8" s="25"/>
      <c r="I8" s="25">
        <f t="shared" si="3"/>
        <v>0</v>
      </c>
      <c r="J8" s="25">
        <v>30</v>
      </c>
      <c r="K8" s="25">
        <f t="shared" si="4"/>
        <v>700</v>
      </c>
      <c r="L8" s="25"/>
      <c r="M8" s="25">
        <f t="shared" si="5"/>
        <v>0</v>
      </c>
      <c r="N8" s="25"/>
      <c r="O8" s="25">
        <f t="shared" si="6"/>
        <v>0</v>
      </c>
      <c r="P8" s="25"/>
      <c r="Q8" s="26">
        <f t="shared" si="7"/>
        <v>0</v>
      </c>
      <c r="R8" s="25"/>
      <c r="S8" s="27">
        <f t="shared" si="8"/>
        <v>0</v>
      </c>
    </row>
    <row r="9" spans="1:19">
      <c r="A9" s="28">
        <v>4</v>
      </c>
      <c r="B9" s="25"/>
      <c r="C9" s="25">
        <f t="shared" si="0"/>
        <v>0</v>
      </c>
      <c r="D9" s="25">
        <v>29</v>
      </c>
      <c r="E9" s="25">
        <f t="shared" si="1"/>
        <v>680</v>
      </c>
      <c r="F9" s="25"/>
      <c r="G9" s="25">
        <f t="shared" si="2"/>
        <v>0</v>
      </c>
      <c r="H9" s="25"/>
      <c r="I9" s="25">
        <f t="shared" si="3"/>
        <v>0</v>
      </c>
      <c r="J9" s="25">
        <v>28</v>
      </c>
      <c r="K9" s="25">
        <f t="shared" si="4"/>
        <v>660</v>
      </c>
      <c r="L9" s="25"/>
      <c r="M9" s="25">
        <f t="shared" si="5"/>
        <v>0</v>
      </c>
      <c r="N9" s="25"/>
      <c r="O9" s="25">
        <f t="shared" si="6"/>
        <v>0</v>
      </c>
      <c r="P9" s="25"/>
      <c r="Q9" s="26">
        <f t="shared" si="7"/>
        <v>0</v>
      </c>
      <c r="R9" s="25"/>
      <c r="S9" s="27">
        <f t="shared" si="8"/>
        <v>0</v>
      </c>
    </row>
    <row r="10" spans="1:19">
      <c r="A10" s="28">
        <v>5</v>
      </c>
      <c r="B10" s="25"/>
      <c r="C10" s="25">
        <f t="shared" si="0"/>
        <v>0</v>
      </c>
      <c r="D10" s="25"/>
      <c r="E10" s="25">
        <f t="shared" si="1"/>
        <v>0</v>
      </c>
      <c r="F10" s="25"/>
      <c r="G10" s="25">
        <f t="shared" si="2"/>
        <v>0</v>
      </c>
      <c r="H10" s="25"/>
      <c r="I10" s="25">
        <f t="shared" si="3"/>
        <v>0</v>
      </c>
      <c r="J10" s="25"/>
      <c r="K10" s="25">
        <f t="shared" si="4"/>
        <v>0</v>
      </c>
      <c r="L10" s="25"/>
      <c r="M10" s="25">
        <f t="shared" si="5"/>
        <v>0</v>
      </c>
      <c r="N10" s="25"/>
      <c r="O10" s="25">
        <f t="shared" si="6"/>
        <v>0</v>
      </c>
      <c r="P10" s="25"/>
      <c r="Q10" s="26">
        <f t="shared" si="7"/>
        <v>0</v>
      </c>
      <c r="R10" s="25"/>
      <c r="S10" s="27">
        <f t="shared" si="8"/>
        <v>0</v>
      </c>
    </row>
    <row r="11" spans="1:19">
      <c r="A11" s="28">
        <v>6</v>
      </c>
      <c r="B11" s="25"/>
      <c r="C11" s="25">
        <f t="shared" si="0"/>
        <v>0</v>
      </c>
      <c r="D11" s="25"/>
      <c r="E11" s="25">
        <f t="shared" si="1"/>
        <v>0</v>
      </c>
      <c r="F11" s="25"/>
      <c r="G11" s="25">
        <f t="shared" si="2"/>
        <v>0</v>
      </c>
      <c r="H11" s="25"/>
      <c r="I11" s="25">
        <f t="shared" si="3"/>
        <v>0</v>
      </c>
      <c r="J11" s="25"/>
      <c r="K11" s="25">
        <f t="shared" si="4"/>
        <v>0</v>
      </c>
      <c r="L11" s="25"/>
      <c r="M11" s="25">
        <f t="shared" si="5"/>
        <v>0</v>
      </c>
      <c r="N11" s="25"/>
      <c r="O11" s="25">
        <f t="shared" si="6"/>
        <v>0</v>
      </c>
      <c r="P11" s="25"/>
      <c r="Q11" s="26">
        <f t="shared" si="7"/>
        <v>0</v>
      </c>
      <c r="R11" s="25"/>
      <c r="S11" s="27">
        <f t="shared" si="8"/>
        <v>0</v>
      </c>
    </row>
    <row r="12" spans="1:19">
      <c r="A12" s="28">
        <v>7</v>
      </c>
      <c r="B12" s="25"/>
      <c r="C12" s="25">
        <f t="shared" si="0"/>
        <v>0</v>
      </c>
      <c r="D12" s="25"/>
      <c r="E12" s="25">
        <f t="shared" si="1"/>
        <v>0</v>
      </c>
      <c r="F12" s="25"/>
      <c r="G12" s="25">
        <f t="shared" si="2"/>
        <v>0</v>
      </c>
      <c r="H12" s="25"/>
      <c r="I12" s="25">
        <f t="shared" si="3"/>
        <v>0</v>
      </c>
      <c r="J12" s="25"/>
      <c r="K12" s="25">
        <f t="shared" si="4"/>
        <v>0</v>
      </c>
      <c r="L12" s="25"/>
      <c r="M12" s="25">
        <f t="shared" si="5"/>
        <v>0</v>
      </c>
      <c r="N12" s="25"/>
      <c r="O12" s="25">
        <f t="shared" si="6"/>
        <v>0</v>
      </c>
      <c r="P12" s="25"/>
      <c r="Q12" s="26">
        <f t="shared" si="7"/>
        <v>0</v>
      </c>
      <c r="R12" s="25"/>
      <c r="S12" s="27">
        <f t="shared" si="8"/>
        <v>0</v>
      </c>
    </row>
    <row r="13" spans="1:19">
      <c r="A13" s="28">
        <v>8</v>
      </c>
      <c r="B13" s="25"/>
      <c r="C13" s="25">
        <f t="shared" si="0"/>
        <v>0</v>
      </c>
      <c r="D13" s="25"/>
      <c r="E13" s="25">
        <f t="shared" si="1"/>
        <v>0</v>
      </c>
      <c r="F13" s="25"/>
      <c r="G13" s="25">
        <f t="shared" si="2"/>
        <v>0</v>
      </c>
      <c r="H13" s="25"/>
      <c r="I13" s="25">
        <f t="shared" si="3"/>
        <v>0</v>
      </c>
      <c r="J13" s="25"/>
      <c r="K13" s="25">
        <f t="shared" si="4"/>
        <v>0</v>
      </c>
      <c r="L13" s="25"/>
      <c r="M13" s="25">
        <f t="shared" si="5"/>
        <v>0</v>
      </c>
      <c r="N13" s="25"/>
      <c r="O13" s="25">
        <f t="shared" si="6"/>
        <v>0</v>
      </c>
      <c r="P13" s="25"/>
      <c r="Q13" s="26">
        <f t="shared" si="7"/>
        <v>0</v>
      </c>
      <c r="R13" s="25"/>
      <c r="S13" s="27">
        <f t="shared" si="8"/>
        <v>0</v>
      </c>
    </row>
    <row r="14" spans="1:19">
      <c r="A14" s="28">
        <v>9</v>
      </c>
      <c r="B14" s="25"/>
      <c r="C14" s="25">
        <f t="shared" si="0"/>
        <v>0</v>
      </c>
      <c r="D14" s="25"/>
      <c r="E14" s="25">
        <f t="shared" si="1"/>
        <v>0</v>
      </c>
      <c r="F14" s="25"/>
      <c r="G14" s="25">
        <f t="shared" si="2"/>
        <v>0</v>
      </c>
      <c r="H14" s="25"/>
      <c r="I14" s="25">
        <f t="shared" si="3"/>
        <v>0</v>
      </c>
      <c r="J14" s="25"/>
      <c r="K14" s="25">
        <f t="shared" si="4"/>
        <v>0</v>
      </c>
      <c r="L14" s="25"/>
      <c r="M14" s="25">
        <f t="shared" si="5"/>
        <v>0</v>
      </c>
      <c r="N14" s="25"/>
      <c r="O14" s="25">
        <f t="shared" si="6"/>
        <v>0</v>
      </c>
      <c r="P14" s="25"/>
      <c r="Q14" s="26">
        <f t="shared" si="7"/>
        <v>0</v>
      </c>
      <c r="R14" s="25"/>
      <c r="S14" s="27">
        <f t="shared" si="8"/>
        <v>0</v>
      </c>
    </row>
    <row r="15" spans="1:19">
      <c r="A15" s="28">
        <v>10</v>
      </c>
      <c r="B15" s="25"/>
      <c r="C15" s="25">
        <f t="shared" si="0"/>
        <v>0</v>
      </c>
      <c r="D15" s="25"/>
      <c r="E15" s="25">
        <f t="shared" si="1"/>
        <v>0</v>
      </c>
      <c r="F15" s="25"/>
      <c r="G15" s="25">
        <f t="shared" si="2"/>
        <v>0</v>
      </c>
      <c r="H15" s="25"/>
      <c r="I15" s="25">
        <f t="shared" si="3"/>
        <v>0</v>
      </c>
      <c r="J15" s="25"/>
      <c r="K15" s="25">
        <f t="shared" si="4"/>
        <v>0</v>
      </c>
      <c r="L15" s="25"/>
      <c r="M15" s="25">
        <f t="shared" si="5"/>
        <v>0</v>
      </c>
      <c r="N15" s="25"/>
      <c r="O15" s="25">
        <f t="shared" si="6"/>
        <v>0</v>
      </c>
      <c r="P15" s="25"/>
      <c r="Q15" s="26">
        <f t="shared" si="7"/>
        <v>0</v>
      </c>
      <c r="R15" s="25"/>
      <c r="S15" s="27">
        <f t="shared" si="8"/>
        <v>0</v>
      </c>
    </row>
    <row r="16" spans="1:19">
      <c r="A16" s="28">
        <v>11</v>
      </c>
      <c r="B16" s="25"/>
      <c r="C16" s="25">
        <f t="shared" si="0"/>
        <v>0</v>
      </c>
      <c r="D16" s="25"/>
      <c r="E16" s="25">
        <f t="shared" si="1"/>
        <v>0</v>
      </c>
      <c r="F16" s="25"/>
      <c r="G16" s="25">
        <f t="shared" si="2"/>
        <v>0</v>
      </c>
      <c r="H16" s="25"/>
      <c r="I16" s="25">
        <f t="shared" si="3"/>
        <v>0</v>
      </c>
      <c r="J16" s="25"/>
      <c r="K16" s="25">
        <f t="shared" si="4"/>
        <v>0</v>
      </c>
      <c r="L16" s="25"/>
      <c r="M16" s="25">
        <f t="shared" si="5"/>
        <v>0</v>
      </c>
      <c r="N16" s="25"/>
      <c r="O16" s="25">
        <f t="shared" si="6"/>
        <v>0</v>
      </c>
      <c r="P16" s="25"/>
      <c r="Q16" s="26">
        <f t="shared" si="7"/>
        <v>0</v>
      </c>
      <c r="R16" s="25"/>
      <c r="S16" s="27">
        <f t="shared" si="8"/>
        <v>0</v>
      </c>
    </row>
    <row r="17" spans="1:19">
      <c r="A17" s="28">
        <v>12</v>
      </c>
      <c r="B17" s="25"/>
      <c r="C17" s="25">
        <f t="shared" si="0"/>
        <v>0</v>
      </c>
      <c r="D17" s="25"/>
      <c r="E17" s="25">
        <f t="shared" si="1"/>
        <v>0</v>
      </c>
      <c r="F17" s="25"/>
      <c r="G17" s="25">
        <f t="shared" si="2"/>
        <v>0</v>
      </c>
      <c r="H17" s="25"/>
      <c r="I17" s="25">
        <f t="shared" si="3"/>
        <v>0</v>
      </c>
      <c r="J17" s="25"/>
      <c r="K17" s="25">
        <f t="shared" si="4"/>
        <v>0</v>
      </c>
      <c r="L17" s="25"/>
      <c r="M17" s="25">
        <f t="shared" si="5"/>
        <v>0</v>
      </c>
      <c r="N17" s="25"/>
      <c r="O17" s="25">
        <f t="shared" si="6"/>
        <v>0</v>
      </c>
      <c r="P17" s="25"/>
      <c r="Q17" s="26">
        <f t="shared" si="7"/>
        <v>0</v>
      </c>
      <c r="R17" s="25"/>
      <c r="S17" s="27">
        <f t="shared" si="8"/>
        <v>0</v>
      </c>
    </row>
    <row r="18" spans="1:19">
      <c r="A18" s="28">
        <v>13</v>
      </c>
      <c r="B18" s="25"/>
      <c r="C18" s="25">
        <f t="shared" si="0"/>
        <v>0</v>
      </c>
      <c r="D18" s="25"/>
      <c r="E18" s="25">
        <f t="shared" si="1"/>
        <v>0</v>
      </c>
      <c r="F18" s="25"/>
      <c r="G18" s="25">
        <f t="shared" si="2"/>
        <v>0</v>
      </c>
      <c r="H18" s="25"/>
      <c r="I18" s="25">
        <f t="shared" si="3"/>
        <v>0</v>
      </c>
      <c r="J18" s="25"/>
      <c r="K18" s="25">
        <f t="shared" si="4"/>
        <v>0</v>
      </c>
      <c r="L18" s="25"/>
      <c r="M18" s="25">
        <f t="shared" si="5"/>
        <v>0</v>
      </c>
      <c r="N18" s="25"/>
      <c r="O18" s="25">
        <f t="shared" si="6"/>
        <v>0</v>
      </c>
      <c r="P18" s="25"/>
      <c r="Q18" s="26">
        <f t="shared" si="7"/>
        <v>0</v>
      </c>
      <c r="R18" s="25"/>
      <c r="S18" s="27">
        <f t="shared" si="8"/>
        <v>0</v>
      </c>
    </row>
    <row r="19" spans="1:19">
      <c r="A19" s="28">
        <v>14</v>
      </c>
      <c r="B19" s="25"/>
      <c r="C19" s="25">
        <f t="shared" si="0"/>
        <v>0</v>
      </c>
      <c r="D19" s="25"/>
      <c r="E19" s="25">
        <f t="shared" si="1"/>
        <v>0</v>
      </c>
      <c r="F19" s="25"/>
      <c r="G19" s="25">
        <f t="shared" si="2"/>
        <v>0</v>
      </c>
      <c r="H19" s="25"/>
      <c r="I19" s="25">
        <f t="shared" si="3"/>
        <v>0</v>
      </c>
      <c r="J19" s="25"/>
      <c r="K19" s="25">
        <f t="shared" si="4"/>
        <v>0</v>
      </c>
      <c r="L19" s="25"/>
      <c r="M19" s="25">
        <f t="shared" si="5"/>
        <v>0</v>
      </c>
      <c r="N19" s="25"/>
      <c r="O19" s="25">
        <f t="shared" si="6"/>
        <v>0</v>
      </c>
      <c r="P19" s="25"/>
      <c r="Q19" s="26">
        <f t="shared" si="7"/>
        <v>0</v>
      </c>
      <c r="R19" s="25"/>
      <c r="S19" s="27">
        <f t="shared" si="8"/>
        <v>0</v>
      </c>
    </row>
    <row r="20" spans="1:19">
      <c r="A20" s="28">
        <v>15</v>
      </c>
      <c r="B20" s="25"/>
      <c r="C20" s="25">
        <f t="shared" si="0"/>
        <v>0</v>
      </c>
      <c r="D20" s="25"/>
      <c r="E20" s="25">
        <f t="shared" si="1"/>
        <v>0</v>
      </c>
      <c r="F20" s="25"/>
      <c r="G20" s="25">
        <f t="shared" si="2"/>
        <v>0</v>
      </c>
      <c r="H20" s="25"/>
      <c r="I20" s="25">
        <f t="shared" si="3"/>
        <v>0</v>
      </c>
      <c r="J20" s="25"/>
      <c r="K20" s="25">
        <f t="shared" si="4"/>
        <v>0</v>
      </c>
      <c r="L20" s="25"/>
      <c r="M20" s="25">
        <f t="shared" si="5"/>
        <v>0</v>
      </c>
      <c r="N20" s="25"/>
      <c r="O20" s="25">
        <f t="shared" si="6"/>
        <v>0</v>
      </c>
      <c r="P20" s="25"/>
      <c r="Q20" s="26">
        <f t="shared" si="7"/>
        <v>0</v>
      </c>
      <c r="R20" s="25"/>
      <c r="S20" s="27">
        <f t="shared" si="8"/>
        <v>0</v>
      </c>
    </row>
    <row r="21" spans="1:19">
      <c r="A21" s="28">
        <v>16</v>
      </c>
      <c r="B21" s="25"/>
      <c r="C21" s="25">
        <f t="shared" si="0"/>
        <v>0</v>
      </c>
      <c r="D21" s="25"/>
      <c r="E21" s="25">
        <f t="shared" si="1"/>
        <v>0</v>
      </c>
      <c r="F21" s="25"/>
      <c r="G21" s="25">
        <f t="shared" si="2"/>
        <v>0</v>
      </c>
      <c r="H21" s="25"/>
      <c r="I21" s="25">
        <f t="shared" si="3"/>
        <v>0</v>
      </c>
      <c r="J21" s="25"/>
      <c r="K21" s="25">
        <f t="shared" si="4"/>
        <v>0</v>
      </c>
      <c r="L21" s="25"/>
      <c r="M21" s="25">
        <f t="shared" si="5"/>
        <v>0</v>
      </c>
      <c r="N21" s="25"/>
      <c r="O21" s="25">
        <f t="shared" si="6"/>
        <v>0</v>
      </c>
      <c r="P21" s="25"/>
      <c r="Q21" s="26">
        <f t="shared" si="7"/>
        <v>0</v>
      </c>
      <c r="R21" s="25"/>
      <c r="S21" s="27">
        <f t="shared" si="8"/>
        <v>0</v>
      </c>
    </row>
    <row r="22" spans="1:19">
      <c r="A22" s="28">
        <v>17</v>
      </c>
      <c r="B22" s="25"/>
      <c r="C22" s="25">
        <f t="shared" si="0"/>
        <v>0</v>
      </c>
      <c r="D22" s="25"/>
      <c r="E22" s="25">
        <f t="shared" si="1"/>
        <v>0</v>
      </c>
      <c r="F22" s="25"/>
      <c r="G22" s="25">
        <f t="shared" si="2"/>
        <v>0</v>
      </c>
      <c r="H22" s="25"/>
      <c r="I22" s="25">
        <f t="shared" si="3"/>
        <v>0</v>
      </c>
      <c r="J22" s="25"/>
      <c r="K22" s="25">
        <f t="shared" si="4"/>
        <v>0</v>
      </c>
      <c r="L22" s="25"/>
      <c r="M22" s="25">
        <f t="shared" si="5"/>
        <v>0</v>
      </c>
      <c r="N22" s="25"/>
      <c r="O22" s="25">
        <f t="shared" si="6"/>
        <v>0</v>
      </c>
      <c r="P22" s="25"/>
      <c r="Q22" s="26">
        <f t="shared" si="7"/>
        <v>0</v>
      </c>
      <c r="R22" s="25"/>
      <c r="S22" s="27">
        <f t="shared" si="8"/>
        <v>0</v>
      </c>
    </row>
    <row r="23" spans="1:19">
      <c r="A23" s="28">
        <v>18</v>
      </c>
      <c r="B23" s="25"/>
      <c r="C23" s="25">
        <f t="shared" si="0"/>
        <v>0</v>
      </c>
      <c r="D23" s="25"/>
      <c r="E23" s="25">
        <f t="shared" si="1"/>
        <v>0</v>
      </c>
      <c r="F23" s="25"/>
      <c r="G23" s="25">
        <f t="shared" si="2"/>
        <v>0</v>
      </c>
      <c r="H23" s="25"/>
      <c r="I23" s="25">
        <f t="shared" si="3"/>
        <v>0</v>
      </c>
      <c r="J23" s="25"/>
      <c r="K23" s="25">
        <f t="shared" si="4"/>
        <v>0</v>
      </c>
      <c r="L23" s="25"/>
      <c r="M23" s="25">
        <f t="shared" si="5"/>
        <v>0</v>
      </c>
      <c r="N23" s="25"/>
      <c r="O23" s="25">
        <f t="shared" si="6"/>
        <v>0</v>
      </c>
      <c r="P23" s="25"/>
      <c r="Q23" s="26">
        <f t="shared" si="7"/>
        <v>0</v>
      </c>
      <c r="R23" s="25"/>
      <c r="S23" s="27">
        <f t="shared" si="8"/>
        <v>0</v>
      </c>
    </row>
    <row r="24" spans="1:19">
      <c r="A24" s="28">
        <v>19</v>
      </c>
      <c r="B24" s="25"/>
      <c r="C24" s="25">
        <f t="shared" si="0"/>
        <v>0</v>
      </c>
      <c r="D24" s="25"/>
      <c r="E24" s="25">
        <f t="shared" si="1"/>
        <v>0</v>
      </c>
      <c r="F24" s="25"/>
      <c r="G24" s="25">
        <f t="shared" si="2"/>
        <v>0</v>
      </c>
      <c r="H24" s="25"/>
      <c r="I24" s="25">
        <f t="shared" si="3"/>
        <v>0</v>
      </c>
      <c r="J24" s="25"/>
      <c r="K24" s="25">
        <f t="shared" si="4"/>
        <v>0</v>
      </c>
      <c r="L24" s="25"/>
      <c r="M24" s="25">
        <f t="shared" si="5"/>
        <v>0</v>
      </c>
      <c r="N24" s="25"/>
      <c r="O24" s="25">
        <f t="shared" si="6"/>
        <v>0</v>
      </c>
      <c r="P24" s="25"/>
      <c r="Q24" s="26">
        <f t="shared" si="7"/>
        <v>0</v>
      </c>
      <c r="R24" s="25"/>
      <c r="S24" s="27">
        <f t="shared" si="8"/>
        <v>0</v>
      </c>
    </row>
    <row r="25" spans="1:19">
      <c r="A25" s="28">
        <v>20</v>
      </c>
      <c r="B25" s="25"/>
      <c r="C25" s="25">
        <f t="shared" si="0"/>
        <v>0</v>
      </c>
      <c r="D25" s="25"/>
      <c r="E25" s="25">
        <f t="shared" si="1"/>
        <v>0</v>
      </c>
      <c r="F25" s="25"/>
      <c r="G25" s="25">
        <f t="shared" si="2"/>
        <v>0</v>
      </c>
      <c r="H25" s="25"/>
      <c r="I25" s="25">
        <f t="shared" si="3"/>
        <v>0</v>
      </c>
      <c r="J25" s="25"/>
      <c r="K25" s="25">
        <f t="shared" si="4"/>
        <v>0</v>
      </c>
      <c r="L25" s="25"/>
      <c r="M25" s="25">
        <f t="shared" si="5"/>
        <v>0</v>
      </c>
      <c r="N25" s="25"/>
      <c r="O25" s="25">
        <f t="shared" si="6"/>
        <v>0</v>
      </c>
      <c r="P25" s="25"/>
      <c r="Q25" s="26">
        <f t="shared" si="7"/>
        <v>0</v>
      </c>
      <c r="R25" s="25"/>
      <c r="S25" s="27">
        <f t="shared" si="8"/>
        <v>0</v>
      </c>
    </row>
    <row r="26" spans="1:19">
      <c r="A26" s="28">
        <v>21</v>
      </c>
      <c r="B26" s="25"/>
      <c r="C26" s="25">
        <f t="shared" si="0"/>
        <v>0</v>
      </c>
      <c r="D26" s="25"/>
      <c r="E26" s="25">
        <f t="shared" si="1"/>
        <v>0</v>
      </c>
      <c r="F26" s="25"/>
      <c r="G26" s="25">
        <f t="shared" si="2"/>
        <v>0</v>
      </c>
      <c r="H26" s="25"/>
      <c r="I26" s="25">
        <f t="shared" si="3"/>
        <v>0</v>
      </c>
      <c r="J26" s="25"/>
      <c r="K26" s="25">
        <f t="shared" si="4"/>
        <v>0</v>
      </c>
      <c r="L26" s="25"/>
      <c r="M26" s="25">
        <f t="shared" si="5"/>
        <v>0</v>
      </c>
      <c r="N26" s="25"/>
      <c r="O26" s="25">
        <f t="shared" si="6"/>
        <v>0</v>
      </c>
      <c r="P26" s="25"/>
      <c r="Q26" s="26">
        <f t="shared" si="7"/>
        <v>0</v>
      </c>
      <c r="R26" s="25"/>
      <c r="S26" s="27">
        <f t="shared" si="8"/>
        <v>0</v>
      </c>
    </row>
    <row r="27" spans="1:19">
      <c r="A27" s="28">
        <v>22</v>
      </c>
      <c r="B27" s="25"/>
      <c r="C27" s="25">
        <f t="shared" si="0"/>
        <v>0</v>
      </c>
      <c r="D27" s="25"/>
      <c r="E27" s="25">
        <f t="shared" si="1"/>
        <v>0</v>
      </c>
      <c r="F27" s="25"/>
      <c r="G27" s="25">
        <f t="shared" si="2"/>
        <v>0</v>
      </c>
      <c r="H27" s="25"/>
      <c r="I27" s="25">
        <f t="shared" si="3"/>
        <v>0</v>
      </c>
      <c r="J27" s="25"/>
      <c r="K27" s="25">
        <f t="shared" si="4"/>
        <v>0</v>
      </c>
      <c r="L27" s="25"/>
      <c r="M27" s="25">
        <f t="shared" si="5"/>
        <v>0</v>
      </c>
      <c r="N27" s="25"/>
      <c r="O27" s="25">
        <f t="shared" si="6"/>
        <v>0</v>
      </c>
      <c r="P27" s="25"/>
      <c r="Q27" s="26">
        <f t="shared" si="7"/>
        <v>0</v>
      </c>
      <c r="R27" s="25"/>
      <c r="S27" s="27">
        <f t="shared" si="8"/>
        <v>0</v>
      </c>
    </row>
    <row r="28" spans="1:19">
      <c r="A28" s="28">
        <v>23</v>
      </c>
      <c r="B28" s="25"/>
      <c r="C28" s="25">
        <f t="shared" si="0"/>
        <v>0</v>
      </c>
      <c r="D28" s="25"/>
      <c r="E28" s="25">
        <f t="shared" si="1"/>
        <v>0</v>
      </c>
      <c r="F28" s="25"/>
      <c r="G28" s="25">
        <f t="shared" si="2"/>
        <v>0</v>
      </c>
      <c r="H28" s="25"/>
      <c r="I28" s="25">
        <f t="shared" si="3"/>
        <v>0</v>
      </c>
      <c r="J28" s="25"/>
      <c r="K28" s="25">
        <f t="shared" si="4"/>
        <v>0</v>
      </c>
      <c r="L28" s="25"/>
      <c r="M28" s="25">
        <f t="shared" si="5"/>
        <v>0</v>
      </c>
      <c r="N28" s="25"/>
      <c r="O28" s="25">
        <f t="shared" si="6"/>
        <v>0</v>
      </c>
      <c r="P28" s="25"/>
      <c r="Q28" s="26">
        <f t="shared" si="7"/>
        <v>0</v>
      </c>
      <c r="R28" s="25"/>
      <c r="S28" s="27">
        <f t="shared" si="8"/>
        <v>0</v>
      </c>
    </row>
    <row r="29" spans="1:19">
      <c r="A29" s="28">
        <v>24</v>
      </c>
      <c r="B29" s="25"/>
      <c r="C29" s="25">
        <f t="shared" si="0"/>
        <v>0</v>
      </c>
      <c r="D29" s="25"/>
      <c r="E29" s="25">
        <f t="shared" si="1"/>
        <v>0</v>
      </c>
      <c r="F29" s="25"/>
      <c r="G29" s="25">
        <f t="shared" si="2"/>
        <v>0</v>
      </c>
      <c r="H29" s="25"/>
      <c r="I29" s="25">
        <f t="shared" si="3"/>
        <v>0</v>
      </c>
      <c r="J29" s="25"/>
      <c r="K29" s="25">
        <f t="shared" si="4"/>
        <v>0</v>
      </c>
      <c r="L29" s="25"/>
      <c r="M29" s="25">
        <f t="shared" si="5"/>
        <v>0</v>
      </c>
      <c r="N29" s="25"/>
      <c r="O29" s="25">
        <f t="shared" si="6"/>
        <v>0</v>
      </c>
      <c r="P29" s="25"/>
      <c r="Q29" s="26">
        <f t="shared" si="7"/>
        <v>0</v>
      </c>
      <c r="R29" s="25"/>
      <c r="S29" s="27">
        <f t="shared" si="8"/>
        <v>0</v>
      </c>
    </row>
    <row r="30" spans="1:19">
      <c r="A30" s="28">
        <v>25</v>
      </c>
      <c r="B30" s="25"/>
      <c r="C30" s="25">
        <f t="shared" si="0"/>
        <v>0</v>
      </c>
      <c r="D30" s="25"/>
      <c r="E30" s="25">
        <f t="shared" si="1"/>
        <v>0</v>
      </c>
      <c r="F30" s="25"/>
      <c r="G30" s="25">
        <f t="shared" si="2"/>
        <v>0</v>
      </c>
      <c r="H30" s="25"/>
      <c r="I30" s="25">
        <f t="shared" si="3"/>
        <v>0</v>
      </c>
      <c r="J30" s="25"/>
      <c r="K30" s="25">
        <f t="shared" si="4"/>
        <v>0</v>
      </c>
      <c r="L30" s="25"/>
      <c r="M30" s="25">
        <f t="shared" si="5"/>
        <v>0</v>
      </c>
      <c r="N30" s="25"/>
      <c r="O30" s="25">
        <f t="shared" si="6"/>
        <v>0</v>
      </c>
      <c r="P30" s="25"/>
      <c r="Q30" s="26">
        <f t="shared" si="7"/>
        <v>0</v>
      </c>
      <c r="R30" s="25"/>
      <c r="S30" s="27">
        <f t="shared" si="8"/>
        <v>0</v>
      </c>
    </row>
    <row r="31" spans="1:19">
      <c r="A31" s="28">
        <v>26</v>
      </c>
      <c r="B31" s="25"/>
      <c r="C31" s="25">
        <f t="shared" si="0"/>
        <v>0</v>
      </c>
      <c r="D31" s="25"/>
      <c r="E31" s="25">
        <f t="shared" si="1"/>
        <v>0</v>
      </c>
      <c r="F31" s="25"/>
      <c r="G31" s="25">
        <f t="shared" si="2"/>
        <v>0</v>
      </c>
      <c r="H31" s="25"/>
      <c r="I31" s="25">
        <f t="shared" si="3"/>
        <v>0</v>
      </c>
      <c r="J31" s="25"/>
      <c r="K31" s="25">
        <f t="shared" si="4"/>
        <v>0</v>
      </c>
      <c r="L31" s="25"/>
      <c r="M31" s="25">
        <f t="shared" si="5"/>
        <v>0</v>
      </c>
      <c r="N31" s="25"/>
      <c r="O31" s="25">
        <f t="shared" si="6"/>
        <v>0</v>
      </c>
      <c r="P31" s="25"/>
      <c r="Q31" s="26">
        <f t="shared" si="7"/>
        <v>0</v>
      </c>
      <c r="R31" s="25"/>
      <c r="S31" s="27">
        <f t="shared" si="8"/>
        <v>0</v>
      </c>
    </row>
    <row r="32" spans="1:19">
      <c r="A32" s="28">
        <v>27</v>
      </c>
      <c r="B32" s="25"/>
      <c r="C32" s="25">
        <f t="shared" ref="C32" si="9">IF(B32,B32*20+100,0)</f>
        <v>0</v>
      </c>
      <c r="D32" s="25"/>
      <c r="E32" s="25">
        <f t="shared" ref="E32" si="10">IF(D32,D32*20+100,0)</f>
        <v>0</v>
      </c>
      <c r="F32" s="25"/>
      <c r="G32" s="25">
        <f t="shared" ref="G32" si="11">IF(F32,F32*20+100,0)</f>
        <v>0</v>
      </c>
      <c r="H32" s="25"/>
      <c r="I32" s="25">
        <f t="shared" ref="I32" si="12">IF(H32,H32*20+100,0)</f>
        <v>0</v>
      </c>
      <c r="J32" s="25"/>
      <c r="K32" s="25">
        <f t="shared" ref="K32" si="13">IF(J32,J32*20+100,0)</f>
        <v>0</v>
      </c>
      <c r="L32" s="25"/>
      <c r="M32" s="25">
        <f t="shared" ref="M32" si="14">IF(L32,L32*20+100,0)</f>
        <v>0</v>
      </c>
      <c r="N32" s="25"/>
      <c r="O32" s="25">
        <f t="shared" ref="O32" si="15">IF(N32,N32*20+100,0)</f>
        <v>0</v>
      </c>
      <c r="P32" s="25"/>
      <c r="Q32" s="26">
        <f t="shared" ref="Q32" si="16">IF(P32,P32*20+100,0)</f>
        <v>0</v>
      </c>
      <c r="R32" s="25"/>
      <c r="S32" s="27">
        <f t="shared" si="8"/>
        <v>0</v>
      </c>
    </row>
    <row r="33" spans="1:19">
      <c r="A33" s="28">
        <v>28</v>
      </c>
      <c r="B33" s="25"/>
      <c r="C33" s="25">
        <f t="shared" si="0"/>
        <v>0</v>
      </c>
      <c r="D33" s="25"/>
      <c r="E33" s="25">
        <f t="shared" si="1"/>
        <v>0</v>
      </c>
      <c r="F33" s="25"/>
      <c r="G33" s="25">
        <f t="shared" si="2"/>
        <v>0</v>
      </c>
      <c r="H33" s="25"/>
      <c r="I33" s="25">
        <f t="shared" si="3"/>
        <v>0</v>
      </c>
      <c r="J33" s="25"/>
      <c r="K33" s="25">
        <f t="shared" si="4"/>
        <v>0</v>
      </c>
      <c r="L33" s="25"/>
      <c r="M33" s="25">
        <f t="shared" si="5"/>
        <v>0</v>
      </c>
      <c r="N33" s="25"/>
      <c r="O33" s="25">
        <f t="shared" si="6"/>
        <v>0</v>
      </c>
      <c r="P33" s="25"/>
      <c r="Q33" s="26">
        <f t="shared" si="7"/>
        <v>0</v>
      </c>
      <c r="R33" s="25"/>
      <c r="S33" s="27">
        <f t="shared" si="8"/>
        <v>0</v>
      </c>
    </row>
    <row r="34" spans="1:19">
      <c r="A34" s="28">
        <v>29</v>
      </c>
      <c r="B34" s="25"/>
      <c r="C34" s="25">
        <f t="shared" si="0"/>
        <v>0</v>
      </c>
      <c r="D34" s="25"/>
      <c r="E34" s="25">
        <f t="shared" si="1"/>
        <v>0</v>
      </c>
      <c r="F34" s="25"/>
      <c r="G34" s="25">
        <f t="shared" si="2"/>
        <v>0</v>
      </c>
      <c r="H34" s="25"/>
      <c r="I34" s="25">
        <f t="shared" si="3"/>
        <v>0</v>
      </c>
      <c r="J34" s="25"/>
      <c r="K34" s="25">
        <f t="shared" si="4"/>
        <v>0</v>
      </c>
      <c r="L34" s="25"/>
      <c r="M34" s="25">
        <f t="shared" si="5"/>
        <v>0</v>
      </c>
      <c r="N34" s="25"/>
      <c r="O34" s="25">
        <f t="shared" si="6"/>
        <v>0</v>
      </c>
      <c r="P34" s="25"/>
      <c r="Q34" s="26">
        <f t="shared" si="7"/>
        <v>0</v>
      </c>
      <c r="R34" s="25"/>
      <c r="S34" s="27">
        <f t="shared" si="8"/>
        <v>0</v>
      </c>
    </row>
    <row r="35" spans="1:19">
      <c r="A35" s="28">
        <v>30</v>
      </c>
      <c r="B35" s="25"/>
      <c r="C35" s="25">
        <f t="shared" si="0"/>
        <v>0</v>
      </c>
      <c r="D35" s="25"/>
      <c r="E35" s="25">
        <f t="shared" si="1"/>
        <v>0</v>
      </c>
      <c r="F35" s="25"/>
      <c r="G35" s="25">
        <f t="shared" si="2"/>
        <v>0</v>
      </c>
      <c r="H35" s="25"/>
      <c r="I35" s="25">
        <f t="shared" si="3"/>
        <v>0</v>
      </c>
      <c r="J35" s="25"/>
      <c r="K35" s="25">
        <f t="shared" si="4"/>
        <v>0</v>
      </c>
      <c r="L35" s="25"/>
      <c r="M35" s="25">
        <f t="shared" si="5"/>
        <v>0</v>
      </c>
      <c r="N35" s="25"/>
      <c r="O35" s="25">
        <f t="shared" si="6"/>
        <v>0</v>
      </c>
      <c r="P35" s="25"/>
      <c r="Q35" s="26">
        <f t="shared" si="7"/>
        <v>0</v>
      </c>
      <c r="R35" s="25"/>
      <c r="S35" s="27">
        <f t="shared" si="8"/>
        <v>0</v>
      </c>
    </row>
    <row r="36" spans="1:19" ht="33" customHeight="1">
      <c r="A36" s="149"/>
      <c r="B36" s="29" t="s">
        <v>11</v>
      </c>
      <c r="C36" s="30">
        <f>SUM(C6:C35)</f>
        <v>1980</v>
      </c>
      <c r="D36" s="29" t="s">
        <v>11</v>
      </c>
      <c r="E36" s="30">
        <f>SUM(E6:E35)</f>
        <v>2340</v>
      </c>
      <c r="F36" s="29" t="s">
        <v>11</v>
      </c>
      <c r="G36" s="30">
        <f>SUM(G6:G35)</f>
        <v>2200</v>
      </c>
      <c r="H36" s="29" t="s">
        <v>11</v>
      </c>
      <c r="I36" s="30">
        <f>SUM(I6:I35)</f>
        <v>0</v>
      </c>
      <c r="J36" s="29" t="s">
        <v>11</v>
      </c>
      <c r="K36" s="30">
        <f>SUM(K6:K35)</f>
        <v>2500</v>
      </c>
      <c r="L36" s="29" t="s">
        <v>11</v>
      </c>
      <c r="M36" s="30">
        <f>SUM(M6:M35)</f>
        <v>1240</v>
      </c>
      <c r="N36" s="29" t="s">
        <v>11</v>
      </c>
      <c r="O36" s="30">
        <f>SUM(O6:O35)</f>
        <v>1140</v>
      </c>
      <c r="P36" s="29" t="s">
        <v>11</v>
      </c>
      <c r="Q36" s="30">
        <f>SUM(Q6:Q35)</f>
        <v>520</v>
      </c>
      <c r="R36" s="29" t="s">
        <v>11</v>
      </c>
      <c r="S36" s="27">
        <f>SUM(S6:S35)</f>
        <v>0</v>
      </c>
    </row>
    <row r="37" spans="1:19" ht="41.25" customHeight="1" thickBot="1">
      <c r="A37" s="150"/>
      <c r="B37" s="31" t="s">
        <v>14</v>
      </c>
      <c r="C37" s="30">
        <f>IF(C36=0,9,RANK(C36,$C$36:$S$36,0))</f>
        <v>4</v>
      </c>
      <c r="D37" s="31" t="s">
        <v>14</v>
      </c>
      <c r="E37" s="30">
        <f t="shared" ref="E37" si="17">IF(E36=0,9,RANK(E36,$C$36:$S$36,0))</f>
        <v>2</v>
      </c>
      <c r="F37" s="31" t="s">
        <v>14</v>
      </c>
      <c r="G37" s="30">
        <f t="shared" ref="G37" si="18">IF(G36=0,9,RANK(G36,$C$36:$S$36,0))</f>
        <v>3</v>
      </c>
      <c r="H37" s="31" t="s">
        <v>14</v>
      </c>
      <c r="I37" s="30">
        <f t="shared" ref="I37" si="19">IF(I36=0,9,RANK(I36,$C$36:$S$36,0))</f>
        <v>9</v>
      </c>
      <c r="J37" s="31" t="s">
        <v>14</v>
      </c>
      <c r="K37" s="30">
        <f t="shared" ref="K37" si="20">IF(K36=0,9,RANK(K36,$C$36:$S$36,0))</f>
        <v>1</v>
      </c>
      <c r="L37" s="31" t="s">
        <v>14</v>
      </c>
      <c r="M37" s="30">
        <f t="shared" ref="M37" si="21">IF(M36=0,9,RANK(M36,$C$36:$S$36,0))</f>
        <v>5</v>
      </c>
      <c r="N37" s="31" t="s">
        <v>14</v>
      </c>
      <c r="O37" s="30">
        <f t="shared" ref="O37" si="22">IF(O36=0,9,RANK(O36,$C$36:$S$36,0))</f>
        <v>6</v>
      </c>
      <c r="P37" s="31" t="s">
        <v>14</v>
      </c>
      <c r="Q37" s="30">
        <f t="shared" ref="Q37" si="23">IF(Q36=0,9,RANK(Q36,$C$36:$S$36,0))</f>
        <v>7</v>
      </c>
      <c r="R37" s="29" t="s">
        <v>14</v>
      </c>
      <c r="S37" s="27">
        <f t="shared" ref="S37" si="24">IF(S36=0,9,RANK(S36,$C$36:$S$36,0))</f>
        <v>9</v>
      </c>
    </row>
    <row r="38" spans="1:19" ht="15" customHeight="1">
      <c r="A38" s="32"/>
      <c r="B38" s="141" t="s">
        <v>29</v>
      </c>
      <c r="C38" s="137">
        <f>COUNT(B6:B35)</f>
        <v>3</v>
      </c>
      <c r="D38" s="141" t="s">
        <v>29</v>
      </c>
      <c r="E38" s="137">
        <f t="shared" ref="E38" si="25">COUNT(D6:D35)</f>
        <v>4</v>
      </c>
      <c r="F38" s="141" t="s">
        <v>29</v>
      </c>
      <c r="G38" s="137">
        <f t="shared" ref="G38" si="26">COUNT(F6:F35)</f>
        <v>3</v>
      </c>
      <c r="H38" s="141" t="s">
        <v>29</v>
      </c>
      <c r="I38" s="137">
        <f t="shared" ref="I38" si="27">COUNT(H6:H35)</f>
        <v>0</v>
      </c>
      <c r="J38" s="141" t="s">
        <v>29</v>
      </c>
      <c r="K38" s="137">
        <f t="shared" ref="K38" si="28">COUNT(J6:J35)</f>
        <v>4</v>
      </c>
      <c r="L38" s="141" t="s">
        <v>29</v>
      </c>
      <c r="M38" s="137">
        <f t="shared" ref="M38" si="29">COUNT(L6:L35)</f>
        <v>2</v>
      </c>
      <c r="N38" s="141" t="s">
        <v>29</v>
      </c>
      <c r="O38" s="137">
        <f t="shared" ref="O38" si="30">COUNT(N6:N35)</f>
        <v>2</v>
      </c>
      <c r="P38" s="141" t="s">
        <v>29</v>
      </c>
      <c r="Q38" s="148">
        <f t="shared" ref="Q38" si="31">COUNT(P6:P35)</f>
        <v>1</v>
      </c>
      <c r="R38" s="141" t="s">
        <v>29</v>
      </c>
      <c r="S38" s="138">
        <f t="shared" ref="S38" si="32">COUNT(R6:R35)</f>
        <v>0</v>
      </c>
    </row>
    <row r="39" spans="1:19">
      <c r="A39" s="32"/>
      <c r="B39" s="141"/>
      <c r="C39" s="137"/>
      <c r="D39" s="141"/>
      <c r="E39" s="137"/>
      <c r="F39" s="141"/>
      <c r="G39" s="137"/>
      <c r="H39" s="141"/>
      <c r="I39" s="137"/>
      <c r="J39" s="141"/>
      <c r="K39" s="137"/>
      <c r="L39" s="141"/>
      <c r="M39" s="137"/>
      <c r="N39" s="141"/>
      <c r="O39" s="137"/>
      <c r="P39" s="141"/>
      <c r="Q39" s="148"/>
      <c r="R39" s="141"/>
      <c r="S39" s="138"/>
    </row>
    <row r="40" spans="1:19">
      <c r="A40" s="32"/>
      <c r="B40" s="141"/>
      <c r="C40" s="137"/>
      <c r="D40" s="141"/>
      <c r="E40" s="137"/>
      <c r="F40" s="141"/>
      <c r="G40" s="137"/>
      <c r="H40" s="141"/>
      <c r="I40" s="137"/>
      <c r="J40" s="141"/>
      <c r="K40" s="137"/>
      <c r="L40" s="141"/>
      <c r="M40" s="137"/>
      <c r="N40" s="141"/>
      <c r="O40" s="137"/>
      <c r="P40" s="141"/>
      <c r="Q40" s="148"/>
      <c r="R40" s="141"/>
      <c r="S40" s="138"/>
    </row>
    <row r="41" spans="1:19" ht="40.5" customHeight="1" thickBot="1">
      <c r="A41" s="33"/>
      <c r="B41" s="34" t="s">
        <v>30</v>
      </c>
      <c r="C41" s="35">
        <f>MAX(B6:B35)</f>
        <v>32</v>
      </c>
      <c r="D41" s="34" t="s">
        <v>30</v>
      </c>
      <c r="E41" s="35">
        <f t="shared" ref="E41" si="33">MAX(D6:D35)</f>
        <v>29</v>
      </c>
      <c r="F41" s="34" t="s">
        <v>30</v>
      </c>
      <c r="G41" s="35">
        <f t="shared" ref="G41" si="34">MAX(F6:F35)</f>
        <v>45</v>
      </c>
      <c r="H41" s="34" t="s">
        <v>30</v>
      </c>
      <c r="I41" s="35">
        <f t="shared" ref="I41" si="35">MAX(H6:H35)</f>
        <v>0</v>
      </c>
      <c r="J41" s="34" t="s">
        <v>30</v>
      </c>
      <c r="K41" s="35">
        <f t="shared" ref="K41" si="36">MAX(J6:J35)</f>
        <v>30</v>
      </c>
      <c r="L41" s="34" t="s">
        <v>30</v>
      </c>
      <c r="M41" s="35">
        <f t="shared" ref="M41" si="37">MAX(L6:L35)</f>
        <v>27</v>
      </c>
      <c r="N41" s="34" t="s">
        <v>30</v>
      </c>
      <c r="O41" s="35">
        <f t="shared" ref="O41" si="38">MAX(N6:N35)</f>
        <v>27</v>
      </c>
      <c r="P41" s="34" t="s">
        <v>30</v>
      </c>
      <c r="Q41" s="36">
        <f t="shared" ref="Q41" si="39">MAX(P6:P35)</f>
        <v>21</v>
      </c>
      <c r="R41" s="34" t="s">
        <v>30</v>
      </c>
      <c r="S41" s="37">
        <f t="shared" ref="S41" si="40">MAX(R6:R35)</f>
        <v>0</v>
      </c>
    </row>
    <row r="45" spans="1:19" ht="15.75" thickBot="1"/>
    <row r="46" spans="1:19" ht="15" customHeight="1">
      <c r="A46" s="142" t="s">
        <v>16</v>
      </c>
      <c r="B46" s="143"/>
      <c r="C46" s="143"/>
      <c r="D46" s="143"/>
      <c r="E46" s="143"/>
      <c r="F46" s="143"/>
      <c r="G46" s="143"/>
      <c r="H46" s="143"/>
      <c r="I46" s="143"/>
      <c r="J46" s="143"/>
      <c r="K46" s="143"/>
      <c r="L46" s="143"/>
      <c r="M46" s="143"/>
      <c r="N46" s="143"/>
      <c r="O46" s="143"/>
      <c r="P46" s="143"/>
      <c r="Q46" s="143"/>
      <c r="R46" s="143"/>
      <c r="S46" s="144"/>
    </row>
    <row r="47" spans="1:19" ht="15" customHeight="1">
      <c r="A47" s="145"/>
      <c r="B47" s="146"/>
      <c r="C47" s="146"/>
      <c r="D47" s="146"/>
      <c r="E47" s="146"/>
      <c r="F47" s="146"/>
      <c r="G47" s="146"/>
      <c r="H47" s="146"/>
      <c r="I47" s="146"/>
      <c r="J47" s="146"/>
      <c r="K47" s="146"/>
      <c r="L47" s="146"/>
      <c r="M47" s="146"/>
      <c r="N47" s="146"/>
      <c r="O47" s="146"/>
      <c r="P47" s="146"/>
      <c r="Q47" s="146"/>
      <c r="R47" s="146"/>
      <c r="S47" s="147"/>
    </row>
    <row r="48" spans="1:19">
      <c r="A48" s="152" t="s">
        <v>15</v>
      </c>
      <c r="B48" s="137" t="s">
        <v>10</v>
      </c>
      <c r="C48" s="137"/>
      <c r="D48" s="137" t="s">
        <v>10</v>
      </c>
      <c r="E48" s="137"/>
      <c r="F48" s="137" t="s">
        <v>10</v>
      </c>
      <c r="G48" s="137"/>
      <c r="H48" s="137" t="s">
        <v>10</v>
      </c>
      <c r="I48" s="137"/>
      <c r="J48" s="137" t="s">
        <v>10</v>
      </c>
      <c r="K48" s="137"/>
      <c r="L48" s="137" t="s">
        <v>10</v>
      </c>
      <c r="M48" s="137"/>
      <c r="N48" s="137" t="s">
        <v>10</v>
      </c>
      <c r="O48" s="137"/>
      <c r="P48" s="137" t="s">
        <v>10</v>
      </c>
      <c r="Q48" s="148"/>
      <c r="R48" s="137" t="s">
        <v>10</v>
      </c>
      <c r="S48" s="138"/>
    </row>
    <row r="49" spans="1:19" ht="18.75">
      <c r="A49" s="152"/>
      <c r="B49" s="139" t="str">
        <f>TABELA!F10</f>
        <v>BOJAN GOVEDARICA</v>
      </c>
      <c r="C49" s="139"/>
      <c r="D49" s="139" t="str">
        <f>TABELA!F11</f>
        <v>VLATKO PEKOVIĆ</v>
      </c>
      <c r="E49" s="139"/>
      <c r="F49" s="139" t="str">
        <f>TABELA!F12</f>
        <v>BOŠKO VULEVIĆ</v>
      </c>
      <c r="G49" s="139"/>
      <c r="H49" s="139" t="str">
        <f>TABELA!F13</f>
        <v>ORHAN BAŠIĆ</v>
      </c>
      <c r="I49" s="139"/>
      <c r="J49" s="139" t="str">
        <f>TABELA!F14</f>
        <v>MILAN FUŠTIĆ</v>
      </c>
      <c r="K49" s="139"/>
      <c r="L49" s="139" t="str">
        <f>TABELA!F15</f>
        <v>RADOVAN KRKOVIĆ</v>
      </c>
      <c r="M49" s="139"/>
      <c r="N49" s="139" t="str">
        <f>TABELA!F16</f>
        <v>NIKOLA ĐALOVIĆ</v>
      </c>
      <c r="O49" s="139"/>
      <c r="P49" s="139" t="str">
        <f>TABELA!F17</f>
        <v>KEMAL AJANOVIĆ</v>
      </c>
      <c r="Q49" s="151"/>
      <c r="R49" s="139" t="str">
        <f>TABELA!F18</f>
        <v>NIKOLA POPOVIĆ</v>
      </c>
      <c r="S49" s="140"/>
    </row>
    <row r="50" spans="1:19">
      <c r="A50" s="152"/>
      <c r="B50" s="25" t="s">
        <v>12</v>
      </c>
      <c r="C50" s="25" t="s">
        <v>13</v>
      </c>
      <c r="D50" s="25" t="s">
        <v>12</v>
      </c>
      <c r="E50" s="25" t="s">
        <v>13</v>
      </c>
      <c r="F50" s="25" t="s">
        <v>12</v>
      </c>
      <c r="G50" s="25" t="s">
        <v>13</v>
      </c>
      <c r="H50" s="25" t="s">
        <v>12</v>
      </c>
      <c r="I50" s="25" t="s">
        <v>13</v>
      </c>
      <c r="J50" s="25" t="s">
        <v>12</v>
      </c>
      <c r="K50" s="25" t="s">
        <v>13</v>
      </c>
      <c r="L50" s="25" t="s">
        <v>12</v>
      </c>
      <c r="M50" s="25" t="s">
        <v>13</v>
      </c>
      <c r="N50" s="25" t="s">
        <v>12</v>
      </c>
      <c r="O50" s="25" t="s">
        <v>13</v>
      </c>
      <c r="P50" s="25" t="s">
        <v>12</v>
      </c>
      <c r="Q50" s="26" t="s">
        <v>13</v>
      </c>
      <c r="R50" s="25" t="s">
        <v>12</v>
      </c>
      <c r="S50" s="27" t="s">
        <v>13</v>
      </c>
    </row>
    <row r="51" spans="1:19">
      <c r="A51" s="28">
        <v>1</v>
      </c>
      <c r="B51" s="25">
        <v>37</v>
      </c>
      <c r="C51" s="25">
        <f>IF(B51,B51*20+100,0)</f>
        <v>840</v>
      </c>
      <c r="D51" s="25">
        <v>22</v>
      </c>
      <c r="E51" s="25">
        <f>IF(D51,D51*20+100,0)</f>
        <v>540</v>
      </c>
      <c r="F51" s="25">
        <v>28</v>
      </c>
      <c r="G51" s="25">
        <f>IF(F51,F51*20+100,0)</f>
        <v>660</v>
      </c>
      <c r="H51" s="25"/>
      <c r="I51" s="25">
        <f>IF(H51,H51*20+100,0)</f>
        <v>0</v>
      </c>
      <c r="J51" s="25">
        <v>28</v>
      </c>
      <c r="K51" s="25">
        <f>IF(J51,J51*20+100,0)</f>
        <v>660</v>
      </c>
      <c r="L51" s="25">
        <v>35</v>
      </c>
      <c r="M51" s="25">
        <f>IF(L51,L51*20+100,0)</f>
        <v>800</v>
      </c>
      <c r="N51" s="25"/>
      <c r="O51" s="25">
        <f>IF(N51,N51*20+100,0)</f>
        <v>0</v>
      </c>
      <c r="P51" s="25">
        <v>32</v>
      </c>
      <c r="Q51" s="26">
        <f>IF(P51,P51*20+100,0)</f>
        <v>740</v>
      </c>
      <c r="R51" s="25">
        <v>29</v>
      </c>
      <c r="S51" s="27">
        <f>IF(R51,R51*20+100,0)</f>
        <v>680</v>
      </c>
    </row>
    <row r="52" spans="1:19">
      <c r="A52" s="28">
        <v>2</v>
      </c>
      <c r="B52" s="25">
        <v>20</v>
      </c>
      <c r="C52" s="25">
        <f t="shared" ref="C52:C80" si="41">IF(B52,B52*20+100,0)</f>
        <v>500</v>
      </c>
      <c r="D52" s="25">
        <v>27</v>
      </c>
      <c r="E52" s="25">
        <f t="shared" ref="E52:E80" si="42">IF(D52,D52*20+100,0)</f>
        <v>640</v>
      </c>
      <c r="F52" s="25"/>
      <c r="G52" s="25">
        <f t="shared" ref="G52:G80" si="43">IF(F52,F52*20+100,0)</f>
        <v>0</v>
      </c>
      <c r="H52" s="25"/>
      <c r="I52" s="25">
        <f t="shared" ref="I52:I80" si="44">IF(H52,H52*20+100,0)</f>
        <v>0</v>
      </c>
      <c r="J52" s="25"/>
      <c r="K52" s="25">
        <f t="shared" ref="K52:K80" si="45">IF(J52,J52*20+100,0)</f>
        <v>0</v>
      </c>
      <c r="L52" s="25">
        <v>20</v>
      </c>
      <c r="M52" s="25">
        <f t="shared" ref="M52:M80" si="46">IF(L52,L52*20+100,0)</f>
        <v>500</v>
      </c>
      <c r="N52" s="25"/>
      <c r="O52" s="25">
        <f t="shared" ref="O52:O80" si="47">IF(N52,N52*20+100,0)</f>
        <v>0</v>
      </c>
      <c r="P52" s="25">
        <v>25</v>
      </c>
      <c r="Q52" s="26">
        <f t="shared" ref="Q52:Q80" si="48">IF(P52,P52*20+100,0)</f>
        <v>600</v>
      </c>
      <c r="R52" s="25"/>
      <c r="S52" s="27">
        <f t="shared" ref="S52:S80" si="49">IF(R52,R52*20+100,0)</f>
        <v>0</v>
      </c>
    </row>
    <row r="53" spans="1:19">
      <c r="A53" s="28">
        <v>3</v>
      </c>
      <c r="B53" s="25">
        <v>21</v>
      </c>
      <c r="C53" s="25">
        <f t="shared" si="41"/>
        <v>520</v>
      </c>
      <c r="D53" s="25">
        <v>32</v>
      </c>
      <c r="E53" s="25">
        <f t="shared" si="42"/>
        <v>740</v>
      </c>
      <c r="F53" s="25"/>
      <c r="G53" s="25">
        <f t="shared" si="43"/>
        <v>0</v>
      </c>
      <c r="H53" s="25"/>
      <c r="I53" s="25">
        <f t="shared" si="44"/>
        <v>0</v>
      </c>
      <c r="J53" s="25"/>
      <c r="K53" s="25">
        <f t="shared" si="45"/>
        <v>0</v>
      </c>
      <c r="L53" s="25">
        <v>29</v>
      </c>
      <c r="M53" s="25">
        <f t="shared" si="46"/>
        <v>680</v>
      </c>
      <c r="N53" s="25"/>
      <c r="O53" s="25">
        <f t="shared" si="47"/>
        <v>0</v>
      </c>
      <c r="P53" s="25"/>
      <c r="Q53" s="26">
        <f t="shared" si="48"/>
        <v>0</v>
      </c>
      <c r="R53" s="25"/>
      <c r="S53" s="27">
        <f t="shared" si="49"/>
        <v>0</v>
      </c>
    </row>
    <row r="54" spans="1:19">
      <c r="A54" s="28">
        <v>4</v>
      </c>
      <c r="B54" s="25"/>
      <c r="C54" s="25">
        <f t="shared" si="41"/>
        <v>0</v>
      </c>
      <c r="D54" s="25">
        <v>28</v>
      </c>
      <c r="E54" s="25">
        <f t="shared" si="42"/>
        <v>660</v>
      </c>
      <c r="F54" s="25"/>
      <c r="G54" s="25">
        <f t="shared" si="43"/>
        <v>0</v>
      </c>
      <c r="H54" s="25"/>
      <c r="I54" s="25">
        <f t="shared" si="44"/>
        <v>0</v>
      </c>
      <c r="J54" s="25"/>
      <c r="K54" s="25">
        <f t="shared" si="45"/>
        <v>0</v>
      </c>
      <c r="L54" s="25"/>
      <c r="M54" s="25">
        <f t="shared" si="46"/>
        <v>0</v>
      </c>
      <c r="N54" s="25"/>
      <c r="O54" s="25">
        <f t="shared" si="47"/>
        <v>0</v>
      </c>
      <c r="P54" s="25"/>
      <c r="Q54" s="26">
        <f t="shared" si="48"/>
        <v>0</v>
      </c>
      <c r="R54" s="25"/>
      <c r="S54" s="27">
        <f t="shared" si="49"/>
        <v>0</v>
      </c>
    </row>
    <row r="55" spans="1:19">
      <c r="A55" s="28">
        <v>5</v>
      </c>
      <c r="B55" s="25"/>
      <c r="C55" s="25">
        <f t="shared" si="41"/>
        <v>0</v>
      </c>
      <c r="D55" s="25">
        <v>36</v>
      </c>
      <c r="E55" s="25">
        <f t="shared" si="42"/>
        <v>820</v>
      </c>
      <c r="F55" s="25"/>
      <c r="G55" s="25">
        <f t="shared" si="43"/>
        <v>0</v>
      </c>
      <c r="H55" s="25"/>
      <c r="I55" s="25">
        <f t="shared" si="44"/>
        <v>0</v>
      </c>
      <c r="J55" s="25"/>
      <c r="K55" s="25">
        <f t="shared" si="45"/>
        <v>0</v>
      </c>
      <c r="L55" s="25"/>
      <c r="M55" s="25">
        <f t="shared" si="46"/>
        <v>0</v>
      </c>
      <c r="N55" s="25"/>
      <c r="O55" s="25">
        <f t="shared" si="47"/>
        <v>0</v>
      </c>
      <c r="P55" s="25"/>
      <c r="Q55" s="26">
        <f t="shared" si="48"/>
        <v>0</v>
      </c>
      <c r="R55" s="25"/>
      <c r="S55" s="27">
        <f t="shared" si="49"/>
        <v>0</v>
      </c>
    </row>
    <row r="56" spans="1:19">
      <c r="A56" s="28">
        <v>6</v>
      </c>
      <c r="B56" s="25"/>
      <c r="C56" s="25">
        <f t="shared" si="41"/>
        <v>0</v>
      </c>
      <c r="D56" s="25"/>
      <c r="E56" s="25">
        <f t="shared" si="42"/>
        <v>0</v>
      </c>
      <c r="F56" s="25"/>
      <c r="G56" s="25">
        <f t="shared" si="43"/>
        <v>0</v>
      </c>
      <c r="H56" s="25"/>
      <c r="I56" s="25">
        <f t="shared" si="44"/>
        <v>0</v>
      </c>
      <c r="J56" s="25"/>
      <c r="K56" s="25">
        <f t="shared" si="45"/>
        <v>0</v>
      </c>
      <c r="L56" s="25"/>
      <c r="M56" s="25">
        <f t="shared" si="46"/>
        <v>0</v>
      </c>
      <c r="N56" s="25"/>
      <c r="O56" s="25">
        <f t="shared" si="47"/>
        <v>0</v>
      </c>
      <c r="P56" s="25"/>
      <c r="Q56" s="26">
        <f t="shared" si="48"/>
        <v>0</v>
      </c>
      <c r="R56" s="25"/>
      <c r="S56" s="27">
        <f t="shared" si="49"/>
        <v>0</v>
      </c>
    </row>
    <row r="57" spans="1:19">
      <c r="A57" s="28">
        <v>7</v>
      </c>
      <c r="B57" s="25"/>
      <c r="C57" s="25">
        <f t="shared" si="41"/>
        <v>0</v>
      </c>
      <c r="D57" s="25"/>
      <c r="E57" s="25">
        <f t="shared" si="42"/>
        <v>0</v>
      </c>
      <c r="F57" s="25"/>
      <c r="G57" s="25">
        <f t="shared" si="43"/>
        <v>0</v>
      </c>
      <c r="H57" s="25"/>
      <c r="I57" s="25">
        <f t="shared" si="44"/>
        <v>0</v>
      </c>
      <c r="J57" s="25"/>
      <c r="K57" s="25">
        <f t="shared" si="45"/>
        <v>0</v>
      </c>
      <c r="L57" s="25"/>
      <c r="M57" s="25">
        <f t="shared" si="46"/>
        <v>0</v>
      </c>
      <c r="N57" s="25"/>
      <c r="O57" s="25">
        <f t="shared" si="47"/>
        <v>0</v>
      </c>
      <c r="P57" s="25"/>
      <c r="Q57" s="26">
        <f t="shared" si="48"/>
        <v>0</v>
      </c>
      <c r="R57" s="25"/>
      <c r="S57" s="27">
        <f t="shared" si="49"/>
        <v>0</v>
      </c>
    </row>
    <row r="58" spans="1:19">
      <c r="A58" s="28">
        <v>8</v>
      </c>
      <c r="B58" s="25"/>
      <c r="C58" s="25">
        <f t="shared" si="41"/>
        <v>0</v>
      </c>
      <c r="D58" s="25"/>
      <c r="E58" s="25">
        <f t="shared" si="42"/>
        <v>0</v>
      </c>
      <c r="F58" s="25"/>
      <c r="G58" s="25">
        <f t="shared" si="43"/>
        <v>0</v>
      </c>
      <c r="H58" s="25"/>
      <c r="I58" s="25">
        <f t="shared" si="44"/>
        <v>0</v>
      </c>
      <c r="J58" s="25"/>
      <c r="K58" s="25">
        <f t="shared" si="45"/>
        <v>0</v>
      </c>
      <c r="L58" s="25"/>
      <c r="M58" s="25">
        <f t="shared" si="46"/>
        <v>0</v>
      </c>
      <c r="N58" s="25"/>
      <c r="O58" s="25">
        <f t="shared" si="47"/>
        <v>0</v>
      </c>
      <c r="P58" s="25"/>
      <c r="Q58" s="26">
        <f t="shared" si="48"/>
        <v>0</v>
      </c>
      <c r="R58" s="25"/>
      <c r="S58" s="27">
        <f t="shared" si="49"/>
        <v>0</v>
      </c>
    </row>
    <row r="59" spans="1:19">
      <c r="A59" s="28">
        <v>9</v>
      </c>
      <c r="B59" s="25"/>
      <c r="C59" s="25">
        <f t="shared" si="41"/>
        <v>0</v>
      </c>
      <c r="D59" s="25"/>
      <c r="E59" s="25">
        <f t="shared" si="42"/>
        <v>0</v>
      </c>
      <c r="F59" s="25"/>
      <c r="G59" s="25">
        <f t="shared" si="43"/>
        <v>0</v>
      </c>
      <c r="H59" s="25"/>
      <c r="I59" s="25">
        <f t="shared" si="44"/>
        <v>0</v>
      </c>
      <c r="J59" s="25"/>
      <c r="K59" s="25">
        <f t="shared" si="45"/>
        <v>0</v>
      </c>
      <c r="L59" s="25"/>
      <c r="M59" s="25">
        <f t="shared" si="46"/>
        <v>0</v>
      </c>
      <c r="N59" s="25"/>
      <c r="O59" s="25">
        <f t="shared" si="47"/>
        <v>0</v>
      </c>
      <c r="P59" s="25"/>
      <c r="Q59" s="26">
        <f t="shared" si="48"/>
        <v>0</v>
      </c>
      <c r="R59" s="25"/>
      <c r="S59" s="27">
        <f t="shared" si="49"/>
        <v>0</v>
      </c>
    </row>
    <row r="60" spans="1:19">
      <c r="A60" s="28">
        <v>10</v>
      </c>
      <c r="B60" s="25"/>
      <c r="C60" s="25">
        <f t="shared" si="41"/>
        <v>0</v>
      </c>
      <c r="D60" s="25"/>
      <c r="E60" s="25">
        <f t="shared" si="42"/>
        <v>0</v>
      </c>
      <c r="F60" s="25"/>
      <c r="G60" s="25">
        <f t="shared" si="43"/>
        <v>0</v>
      </c>
      <c r="H60" s="25"/>
      <c r="I60" s="25">
        <f t="shared" si="44"/>
        <v>0</v>
      </c>
      <c r="J60" s="25"/>
      <c r="K60" s="25">
        <f t="shared" si="45"/>
        <v>0</v>
      </c>
      <c r="L60" s="25"/>
      <c r="M60" s="25">
        <f t="shared" si="46"/>
        <v>0</v>
      </c>
      <c r="N60" s="25"/>
      <c r="O60" s="25">
        <f t="shared" si="47"/>
        <v>0</v>
      </c>
      <c r="P60" s="25"/>
      <c r="Q60" s="26">
        <f t="shared" si="48"/>
        <v>0</v>
      </c>
      <c r="R60" s="25"/>
      <c r="S60" s="27">
        <f t="shared" si="49"/>
        <v>0</v>
      </c>
    </row>
    <row r="61" spans="1:19">
      <c r="A61" s="28">
        <v>11</v>
      </c>
      <c r="B61" s="25"/>
      <c r="C61" s="25">
        <f t="shared" si="41"/>
        <v>0</v>
      </c>
      <c r="D61" s="25"/>
      <c r="E61" s="25">
        <f t="shared" si="42"/>
        <v>0</v>
      </c>
      <c r="F61" s="25"/>
      <c r="G61" s="25">
        <f t="shared" si="43"/>
        <v>0</v>
      </c>
      <c r="H61" s="25"/>
      <c r="I61" s="25">
        <f t="shared" si="44"/>
        <v>0</v>
      </c>
      <c r="J61" s="25"/>
      <c r="K61" s="25">
        <f t="shared" si="45"/>
        <v>0</v>
      </c>
      <c r="L61" s="25"/>
      <c r="M61" s="25">
        <f t="shared" si="46"/>
        <v>0</v>
      </c>
      <c r="N61" s="25"/>
      <c r="O61" s="25">
        <f t="shared" si="47"/>
        <v>0</v>
      </c>
      <c r="P61" s="25"/>
      <c r="Q61" s="26">
        <f t="shared" si="48"/>
        <v>0</v>
      </c>
      <c r="R61" s="25"/>
      <c r="S61" s="27">
        <f t="shared" si="49"/>
        <v>0</v>
      </c>
    </row>
    <row r="62" spans="1:19">
      <c r="A62" s="28">
        <v>12</v>
      </c>
      <c r="B62" s="25"/>
      <c r="C62" s="25">
        <f t="shared" si="41"/>
        <v>0</v>
      </c>
      <c r="D62" s="25"/>
      <c r="E62" s="25">
        <f t="shared" si="42"/>
        <v>0</v>
      </c>
      <c r="F62" s="25"/>
      <c r="G62" s="25">
        <f t="shared" si="43"/>
        <v>0</v>
      </c>
      <c r="H62" s="25"/>
      <c r="I62" s="25">
        <f t="shared" si="44"/>
        <v>0</v>
      </c>
      <c r="J62" s="25"/>
      <c r="K62" s="25">
        <f t="shared" si="45"/>
        <v>0</v>
      </c>
      <c r="L62" s="25"/>
      <c r="M62" s="25">
        <f t="shared" si="46"/>
        <v>0</v>
      </c>
      <c r="N62" s="25"/>
      <c r="O62" s="25">
        <f t="shared" si="47"/>
        <v>0</v>
      </c>
      <c r="P62" s="25"/>
      <c r="Q62" s="26">
        <f t="shared" si="48"/>
        <v>0</v>
      </c>
      <c r="R62" s="25"/>
      <c r="S62" s="27">
        <f t="shared" si="49"/>
        <v>0</v>
      </c>
    </row>
    <row r="63" spans="1:19">
      <c r="A63" s="28">
        <v>13</v>
      </c>
      <c r="B63" s="25"/>
      <c r="C63" s="25">
        <f t="shared" si="41"/>
        <v>0</v>
      </c>
      <c r="D63" s="25"/>
      <c r="E63" s="25">
        <f t="shared" si="42"/>
        <v>0</v>
      </c>
      <c r="F63" s="25"/>
      <c r="G63" s="25">
        <f t="shared" si="43"/>
        <v>0</v>
      </c>
      <c r="H63" s="25"/>
      <c r="I63" s="25">
        <f t="shared" si="44"/>
        <v>0</v>
      </c>
      <c r="J63" s="25"/>
      <c r="K63" s="25">
        <f t="shared" si="45"/>
        <v>0</v>
      </c>
      <c r="L63" s="25"/>
      <c r="M63" s="25">
        <f t="shared" si="46"/>
        <v>0</v>
      </c>
      <c r="N63" s="25"/>
      <c r="O63" s="25">
        <f t="shared" si="47"/>
        <v>0</v>
      </c>
      <c r="P63" s="25"/>
      <c r="Q63" s="26">
        <f t="shared" si="48"/>
        <v>0</v>
      </c>
      <c r="R63" s="25"/>
      <c r="S63" s="27">
        <f t="shared" si="49"/>
        <v>0</v>
      </c>
    </row>
    <row r="64" spans="1:19">
      <c r="A64" s="28">
        <v>14</v>
      </c>
      <c r="B64" s="25"/>
      <c r="C64" s="25">
        <f t="shared" si="41"/>
        <v>0</v>
      </c>
      <c r="D64" s="25"/>
      <c r="E64" s="25">
        <f t="shared" si="42"/>
        <v>0</v>
      </c>
      <c r="F64" s="25"/>
      <c r="G64" s="25">
        <f t="shared" si="43"/>
        <v>0</v>
      </c>
      <c r="H64" s="25"/>
      <c r="I64" s="25">
        <f t="shared" si="44"/>
        <v>0</v>
      </c>
      <c r="J64" s="25"/>
      <c r="K64" s="25">
        <f t="shared" si="45"/>
        <v>0</v>
      </c>
      <c r="L64" s="25"/>
      <c r="M64" s="25">
        <f t="shared" si="46"/>
        <v>0</v>
      </c>
      <c r="N64" s="25"/>
      <c r="O64" s="25">
        <f t="shared" si="47"/>
        <v>0</v>
      </c>
      <c r="P64" s="25"/>
      <c r="Q64" s="26">
        <f t="shared" si="48"/>
        <v>0</v>
      </c>
      <c r="R64" s="25"/>
      <c r="S64" s="27">
        <f t="shared" si="49"/>
        <v>0</v>
      </c>
    </row>
    <row r="65" spans="1:19">
      <c r="A65" s="28">
        <v>15</v>
      </c>
      <c r="B65" s="25"/>
      <c r="C65" s="25">
        <f t="shared" si="41"/>
        <v>0</v>
      </c>
      <c r="D65" s="25"/>
      <c r="E65" s="25">
        <f t="shared" si="42"/>
        <v>0</v>
      </c>
      <c r="F65" s="25"/>
      <c r="G65" s="25">
        <f t="shared" si="43"/>
        <v>0</v>
      </c>
      <c r="H65" s="25"/>
      <c r="I65" s="25">
        <f t="shared" si="44"/>
        <v>0</v>
      </c>
      <c r="J65" s="25"/>
      <c r="K65" s="25">
        <f t="shared" si="45"/>
        <v>0</v>
      </c>
      <c r="L65" s="25"/>
      <c r="M65" s="25">
        <f t="shared" si="46"/>
        <v>0</v>
      </c>
      <c r="N65" s="25"/>
      <c r="O65" s="25">
        <f t="shared" si="47"/>
        <v>0</v>
      </c>
      <c r="P65" s="25"/>
      <c r="Q65" s="26">
        <f t="shared" si="48"/>
        <v>0</v>
      </c>
      <c r="R65" s="25"/>
      <c r="S65" s="27">
        <f t="shared" si="49"/>
        <v>0</v>
      </c>
    </row>
    <row r="66" spans="1:19">
      <c r="A66" s="28">
        <v>16</v>
      </c>
      <c r="B66" s="25"/>
      <c r="C66" s="25">
        <f t="shared" si="41"/>
        <v>0</v>
      </c>
      <c r="D66" s="25"/>
      <c r="E66" s="25">
        <f t="shared" si="42"/>
        <v>0</v>
      </c>
      <c r="F66" s="25"/>
      <c r="G66" s="25">
        <f t="shared" si="43"/>
        <v>0</v>
      </c>
      <c r="H66" s="25"/>
      <c r="I66" s="25">
        <f t="shared" si="44"/>
        <v>0</v>
      </c>
      <c r="J66" s="25"/>
      <c r="K66" s="25">
        <f t="shared" si="45"/>
        <v>0</v>
      </c>
      <c r="L66" s="25"/>
      <c r="M66" s="25">
        <f t="shared" si="46"/>
        <v>0</v>
      </c>
      <c r="N66" s="25"/>
      <c r="O66" s="25">
        <f t="shared" si="47"/>
        <v>0</v>
      </c>
      <c r="P66" s="25"/>
      <c r="Q66" s="26">
        <f t="shared" si="48"/>
        <v>0</v>
      </c>
      <c r="R66" s="25"/>
      <c r="S66" s="27">
        <f t="shared" si="49"/>
        <v>0</v>
      </c>
    </row>
    <row r="67" spans="1:19">
      <c r="A67" s="28">
        <v>17</v>
      </c>
      <c r="B67" s="25"/>
      <c r="C67" s="25">
        <f t="shared" si="41"/>
        <v>0</v>
      </c>
      <c r="D67" s="25"/>
      <c r="E67" s="25">
        <f t="shared" si="42"/>
        <v>0</v>
      </c>
      <c r="F67" s="25"/>
      <c r="G67" s="25">
        <f t="shared" si="43"/>
        <v>0</v>
      </c>
      <c r="H67" s="25"/>
      <c r="I67" s="25">
        <f t="shared" si="44"/>
        <v>0</v>
      </c>
      <c r="J67" s="25"/>
      <c r="K67" s="25">
        <f t="shared" si="45"/>
        <v>0</v>
      </c>
      <c r="L67" s="25"/>
      <c r="M67" s="25">
        <f t="shared" si="46"/>
        <v>0</v>
      </c>
      <c r="N67" s="25"/>
      <c r="O67" s="25">
        <f t="shared" si="47"/>
        <v>0</v>
      </c>
      <c r="P67" s="25"/>
      <c r="Q67" s="26">
        <f t="shared" si="48"/>
        <v>0</v>
      </c>
      <c r="R67" s="25"/>
      <c r="S67" s="27">
        <f t="shared" si="49"/>
        <v>0</v>
      </c>
    </row>
    <row r="68" spans="1:19">
      <c r="A68" s="28">
        <v>18</v>
      </c>
      <c r="B68" s="25"/>
      <c r="C68" s="25">
        <f t="shared" si="41"/>
        <v>0</v>
      </c>
      <c r="D68" s="25"/>
      <c r="E68" s="25">
        <f t="shared" si="42"/>
        <v>0</v>
      </c>
      <c r="F68" s="25"/>
      <c r="G68" s="25">
        <f t="shared" si="43"/>
        <v>0</v>
      </c>
      <c r="H68" s="25"/>
      <c r="I68" s="25">
        <f t="shared" si="44"/>
        <v>0</v>
      </c>
      <c r="J68" s="25"/>
      <c r="K68" s="25">
        <f t="shared" si="45"/>
        <v>0</v>
      </c>
      <c r="L68" s="25"/>
      <c r="M68" s="25">
        <f t="shared" si="46"/>
        <v>0</v>
      </c>
      <c r="N68" s="25"/>
      <c r="O68" s="25">
        <f t="shared" si="47"/>
        <v>0</v>
      </c>
      <c r="P68" s="25"/>
      <c r="Q68" s="26">
        <f t="shared" si="48"/>
        <v>0</v>
      </c>
      <c r="R68" s="25"/>
      <c r="S68" s="27">
        <f t="shared" si="49"/>
        <v>0</v>
      </c>
    </row>
    <row r="69" spans="1:19">
      <c r="A69" s="28">
        <v>19</v>
      </c>
      <c r="B69" s="25"/>
      <c r="C69" s="25">
        <f t="shared" si="41"/>
        <v>0</v>
      </c>
      <c r="D69" s="25"/>
      <c r="E69" s="25">
        <f t="shared" si="42"/>
        <v>0</v>
      </c>
      <c r="F69" s="25"/>
      <c r="G69" s="25">
        <f t="shared" si="43"/>
        <v>0</v>
      </c>
      <c r="H69" s="25"/>
      <c r="I69" s="25">
        <f t="shared" si="44"/>
        <v>0</v>
      </c>
      <c r="J69" s="25"/>
      <c r="K69" s="25">
        <f t="shared" si="45"/>
        <v>0</v>
      </c>
      <c r="L69" s="25"/>
      <c r="M69" s="25">
        <f t="shared" si="46"/>
        <v>0</v>
      </c>
      <c r="N69" s="25"/>
      <c r="O69" s="25">
        <f t="shared" si="47"/>
        <v>0</v>
      </c>
      <c r="P69" s="25"/>
      <c r="Q69" s="26">
        <f t="shared" si="48"/>
        <v>0</v>
      </c>
      <c r="R69" s="25"/>
      <c r="S69" s="27">
        <f t="shared" si="49"/>
        <v>0</v>
      </c>
    </row>
    <row r="70" spans="1:19">
      <c r="A70" s="28">
        <v>20</v>
      </c>
      <c r="B70" s="25"/>
      <c r="C70" s="25">
        <f t="shared" si="41"/>
        <v>0</v>
      </c>
      <c r="D70" s="25"/>
      <c r="E70" s="25">
        <f t="shared" si="42"/>
        <v>0</v>
      </c>
      <c r="F70" s="25"/>
      <c r="G70" s="25">
        <f t="shared" si="43"/>
        <v>0</v>
      </c>
      <c r="H70" s="25"/>
      <c r="I70" s="25">
        <f t="shared" si="44"/>
        <v>0</v>
      </c>
      <c r="J70" s="25"/>
      <c r="K70" s="25">
        <f t="shared" si="45"/>
        <v>0</v>
      </c>
      <c r="L70" s="25"/>
      <c r="M70" s="25">
        <f t="shared" si="46"/>
        <v>0</v>
      </c>
      <c r="N70" s="25"/>
      <c r="O70" s="25">
        <f t="shared" si="47"/>
        <v>0</v>
      </c>
      <c r="P70" s="25"/>
      <c r="Q70" s="26">
        <f t="shared" si="48"/>
        <v>0</v>
      </c>
      <c r="R70" s="25"/>
      <c r="S70" s="27">
        <f t="shared" si="49"/>
        <v>0</v>
      </c>
    </row>
    <row r="71" spans="1:19">
      <c r="A71" s="28">
        <v>21</v>
      </c>
      <c r="B71" s="25"/>
      <c r="C71" s="25">
        <f t="shared" si="41"/>
        <v>0</v>
      </c>
      <c r="D71" s="25"/>
      <c r="E71" s="25">
        <f t="shared" si="42"/>
        <v>0</v>
      </c>
      <c r="F71" s="25"/>
      <c r="G71" s="25">
        <f t="shared" si="43"/>
        <v>0</v>
      </c>
      <c r="H71" s="25"/>
      <c r="I71" s="25">
        <f t="shared" si="44"/>
        <v>0</v>
      </c>
      <c r="J71" s="25"/>
      <c r="K71" s="25">
        <f t="shared" si="45"/>
        <v>0</v>
      </c>
      <c r="L71" s="25"/>
      <c r="M71" s="25">
        <f t="shared" si="46"/>
        <v>0</v>
      </c>
      <c r="N71" s="25"/>
      <c r="O71" s="25">
        <f t="shared" si="47"/>
        <v>0</v>
      </c>
      <c r="P71" s="25"/>
      <c r="Q71" s="26">
        <f t="shared" si="48"/>
        <v>0</v>
      </c>
      <c r="R71" s="25"/>
      <c r="S71" s="27">
        <f t="shared" si="49"/>
        <v>0</v>
      </c>
    </row>
    <row r="72" spans="1:19">
      <c r="A72" s="28">
        <v>22</v>
      </c>
      <c r="B72" s="25"/>
      <c r="C72" s="25">
        <f t="shared" si="41"/>
        <v>0</v>
      </c>
      <c r="D72" s="25"/>
      <c r="E72" s="25">
        <f t="shared" si="42"/>
        <v>0</v>
      </c>
      <c r="F72" s="25"/>
      <c r="G72" s="25">
        <f t="shared" si="43"/>
        <v>0</v>
      </c>
      <c r="H72" s="25"/>
      <c r="I72" s="25">
        <f t="shared" si="44"/>
        <v>0</v>
      </c>
      <c r="J72" s="25"/>
      <c r="K72" s="25">
        <f t="shared" si="45"/>
        <v>0</v>
      </c>
      <c r="L72" s="25"/>
      <c r="M72" s="25">
        <f t="shared" si="46"/>
        <v>0</v>
      </c>
      <c r="N72" s="25"/>
      <c r="O72" s="25">
        <f t="shared" si="47"/>
        <v>0</v>
      </c>
      <c r="P72" s="25"/>
      <c r="Q72" s="26">
        <f t="shared" si="48"/>
        <v>0</v>
      </c>
      <c r="R72" s="25"/>
      <c r="S72" s="27">
        <f t="shared" si="49"/>
        <v>0</v>
      </c>
    </row>
    <row r="73" spans="1:19">
      <c r="A73" s="28">
        <v>23</v>
      </c>
      <c r="B73" s="25"/>
      <c r="C73" s="25">
        <f t="shared" si="41"/>
        <v>0</v>
      </c>
      <c r="D73" s="25"/>
      <c r="E73" s="25">
        <f t="shared" si="42"/>
        <v>0</v>
      </c>
      <c r="F73" s="25"/>
      <c r="G73" s="25">
        <f t="shared" si="43"/>
        <v>0</v>
      </c>
      <c r="H73" s="25"/>
      <c r="I73" s="25">
        <f t="shared" si="44"/>
        <v>0</v>
      </c>
      <c r="J73" s="25"/>
      <c r="K73" s="25">
        <f t="shared" si="45"/>
        <v>0</v>
      </c>
      <c r="L73" s="25"/>
      <c r="M73" s="25">
        <f t="shared" si="46"/>
        <v>0</v>
      </c>
      <c r="N73" s="25"/>
      <c r="O73" s="25">
        <f t="shared" si="47"/>
        <v>0</v>
      </c>
      <c r="P73" s="25"/>
      <c r="Q73" s="26">
        <f t="shared" si="48"/>
        <v>0</v>
      </c>
      <c r="R73" s="25"/>
      <c r="S73" s="27">
        <f t="shared" si="49"/>
        <v>0</v>
      </c>
    </row>
    <row r="74" spans="1:19">
      <c r="A74" s="28">
        <v>24</v>
      </c>
      <c r="B74" s="25"/>
      <c r="C74" s="25">
        <f t="shared" si="41"/>
        <v>0</v>
      </c>
      <c r="D74" s="25"/>
      <c r="E74" s="25">
        <f t="shared" si="42"/>
        <v>0</v>
      </c>
      <c r="F74" s="25"/>
      <c r="G74" s="25">
        <f t="shared" si="43"/>
        <v>0</v>
      </c>
      <c r="H74" s="25"/>
      <c r="I74" s="25">
        <f t="shared" si="44"/>
        <v>0</v>
      </c>
      <c r="J74" s="25"/>
      <c r="K74" s="25">
        <f t="shared" si="45"/>
        <v>0</v>
      </c>
      <c r="L74" s="25"/>
      <c r="M74" s="25">
        <f t="shared" si="46"/>
        <v>0</v>
      </c>
      <c r="N74" s="25"/>
      <c r="O74" s="25">
        <f t="shared" si="47"/>
        <v>0</v>
      </c>
      <c r="P74" s="25"/>
      <c r="Q74" s="26">
        <f t="shared" si="48"/>
        <v>0</v>
      </c>
      <c r="R74" s="25"/>
      <c r="S74" s="27">
        <f t="shared" si="49"/>
        <v>0</v>
      </c>
    </row>
    <row r="75" spans="1:19">
      <c r="A75" s="28">
        <v>25</v>
      </c>
      <c r="B75" s="25"/>
      <c r="C75" s="25">
        <f t="shared" si="41"/>
        <v>0</v>
      </c>
      <c r="D75" s="25"/>
      <c r="E75" s="25">
        <f t="shared" si="42"/>
        <v>0</v>
      </c>
      <c r="F75" s="25"/>
      <c r="G75" s="25">
        <f t="shared" si="43"/>
        <v>0</v>
      </c>
      <c r="H75" s="25"/>
      <c r="I75" s="25">
        <f t="shared" si="44"/>
        <v>0</v>
      </c>
      <c r="J75" s="25"/>
      <c r="K75" s="25">
        <f t="shared" si="45"/>
        <v>0</v>
      </c>
      <c r="L75" s="25"/>
      <c r="M75" s="25">
        <f t="shared" si="46"/>
        <v>0</v>
      </c>
      <c r="N75" s="25"/>
      <c r="O75" s="25">
        <f t="shared" si="47"/>
        <v>0</v>
      </c>
      <c r="P75" s="25"/>
      <c r="Q75" s="26">
        <f t="shared" si="48"/>
        <v>0</v>
      </c>
      <c r="R75" s="25"/>
      <c r="S75" s="27">
        <f t="shared" si="49"/>
        <v>0</v>
      </c>
    </row>
    <row r="76" spans="1:19">
      <c r="A76" s="28">
        <v>26</v>
      </c>
      <c r="B76" s="25"/>
      <c r="C76" s="25">
        <f t="shared" si="41"/>
        <v>0</v>
      </c>
      <c r="D76" s="25"/>
      <c r="E76" s="25">
        <f t="shared" si="42"/>
        <v>0</v>
      </c>
      <c r="F76" s="25"/>
      <c r="G76" s="25">
        <f t="shared" si="43"/>
        <v>0</v>
      </c>
      <c r="H76" s="25"/>
      <c r="I76" s="25">
        <f t="shared" si="44"/>
        <v>0</v>
      </c>
      <c r="J76" s="25"/>
      <c r="K76" s="25">
        <f t="shared" si="45"/>
        <v>0</v>
      </c>
      <c r="L76" s="25"/>
      <c r="M76" s="25">
        <f t="shared" si="46"/>
        <v>0</v>
      </c>
      <c r="N76" s="25"/>
      <c r="O76" s="25">
        <f t="shared" si="47"/>
        <v>0</v>
      </c>
      <c r="P76" s="25"/>
      <c r="Q76" s="26">
        <f t="shared" si="48"/>
        <v>0</v>
      </c>
      <c r="R76" s="25"/>
      <c r="S76" s="27">
        <f t="shared" si="49"/>
        <v>0</v>
      </c>
    </row>
    <row r="77" spans="1:19">
      <c r="A77" s="28">
        <v>27</v>
      </c>
      <c r="B77" s="25"/>
      <c r="C77" s="25">
        <f t="shared" si="41"/>
        <v>0</v>
      </c>
      <c r="D77" s="25"/>
      <c r="E77" s="25">
        <f t="shared" si="42"/>
        <v>0</v>
      </c>
      <c r="F77" s="25"/>
      <c r="G77" s="25">
        <f t="shared" si="43"/>
        <v>0</v>
      </c>
      <c r="H77" s="25"/>
      <c r="I77" s="25">
        <f t="shared" si="44"/>
        <v>0</v>
      </c>
      <c r="J77" s="25"/>
      <c r="K77" s="25">
        <f t="shared" si="45"/>
        <v>0</v>
      </c>
      <c r="L77" s="25"/>
      <c r="M77" s="25">
        <f t="shared" si="46"/>
        <v>0</v>
      </c>
      <c r="N77" s="25"/>
      <c r="O77" s="25">
        <f t="shared" si="47"/>
        <v>0</v>
      </c>
      <c r="P77" s="25"/>
      <c r="Q77" s="26">
        <f t="shared" si="48"/>
        <v>0</v>
      </c>
      <c r="R77" s="25"/>
      <c r="S77" s="27">
        <f t="shared" si="49"/>
        <v>0</v>
      </c>
    </row>
    <row r="78" spans="1:19">
      <c r="A78" s="28">
        <v>28</v>
      </c>
      <c r="B78" s="25"/>
      <c r="C78" s="25">
        <f t="shared" si="41"/>
        <v>0</v>
      </c>
      <c r="D78" s="25"/>
      <c r="E78" s="25">
        <f t="shared" si="42"/>
        <v>0</v>
      </c>
      <c r="F78" s="25"/>
      <c r="G78" s="25">
        <f t="shared" si="43"/>
        <v>0</v>
      </c>
      <c r="H78" s="25"/>
      <c r="I78" s="25">
        <f t="shared" si="44"/>
        <v>0</v>
      </c>
      <c r="J78" s="25"/>
      <c r="K78" s="25">
        <f t="shared" si="45"/>
        <v>0</v>
      </c>
      <c r="L78" s="25"/>
      <c r="M78" s="25">
        <f t="shared" si="46"/>
        <v>0</v>
      </c>
      <c r="N78" s="25"/>
      <c r="O78" s="25">
        <f t="shared" si="47"/>
        <v>0</v>
      </c>
      <c r="P78" s="25"/>
      <c r="Q78" s="26">
        <f t="shared" si="48"/>
        <v>0</v>
      </c>
      <c r="R78" s="25"/>
      <c r="S78" s="27">
        <f t="shared" si="49"/>
        <v>0</v>
      </c>
    </row>
    <row r="79" spans="1:19">
      <c r="A79" s="28">
        <v>29</v>
      </c>
      <c r="B79" s="25"/>
      <c r="C79" s="25">
        <f t="shared" si="41"/>
        <v>0</v>
      </c>
      <c r="D79" s="25"/>
      <c r="E79" s="25">
        <f t="shared" si="42"/>
        <v>0</v>
      </c>
      <c r="F79" s="25"/>
      <c r="G79" s="25">
        <f t="shared" si="43"/>
        <v>0</v>
      </c>
      <c r="H79" s="25"/>
      <c r="I79" s="25">
        <f t="shared" si="44"/>
        <v>0</v>
      </c>
      <c r="J79" s="25"/>
      <c r="K79" s="25">
        <f t="shared" si="45"/>
        <v>0</v>
      </c>
      <c r="L79" s="25"/>
      <c r="M79" s="25">
        <f t="shared" si="46"/>
        <v>0</v>
      </c>
      <c r="N79" s="25"/>
      <c r="O79" s="25">
        <f t="shared" si="47"/>
        <v>0</v>
      </c>
      <c r="P79" s="25"/>
      <c r="Q79" s="26">
        <f t="shared" si="48"/>
        <v>0</v>
      </c>
      <c r="R79" s="25"/>
      <c r="S79" s="27">
        <f t="shared" si="49"/>
        <v>0</v>
      </c>
    </row>
    <row r="80" spans="1:19">
      <c r="A80" s="28">
        <v>30</v>
      </c>
      <c r="B80" s="25"/>
      <c r="C80" s="25">
        <f t="shared" si="41"/>
        <v>0</v>
      </c>
      <c r="D80" s="25"/>
      <c r="E80" s="25">
        <f t="shared" si="42"/>
        <v>0</v>
      </c>
      <c r="F80" s="25"/>
      <c r="G80" s="25">
        <f t="shared" si="43"/>
        <v>0</v>
      </c>
      <c r="H80" s="25"/>
      <c r="I80" s="25">
        <f t="shared" si="44"/>
        <v>0</v>
      </c>
      <c r="J80" s="25"/>
      <c r="K80" s="25">
        <f t="shared" si="45"/>
        <v>0</v>
      </c>
      <c r="L80" s="25"/>
      <c r="M80" s="25">
        <f t="shared" si="46"/>
        <v>0</v>
      </c>
      <c r="N80" s="25"/>
      <c r="O80" s="25">
        <f t="shared" si="47"/>
        <v>0</v>
      </c>
      <c r="P80" s="25"/>
      <c r="Q80" s="26">
        <f t="shared" si="48"/>
        <v>0</v>
      </c>
      <c r="R80" s="25"/>
      <c r="S80" s="27">
        <f t="shared" si="49"/>
        <v>0</v>
      </c>
    </row>
    <row r="81" spans="1:19" ht="39.75" customHeight="1">
      <c r="A81" s="149"/>
      <c r="B81" s="29" t="s">
        <v>11</v>
      </c>
      <c r="C81" s="30">
        <f>SUM(C51:C80)</f>
        <v>1860</v>
      </c>
      <c r="D81" s="29" t="s">
        <v>11</v>
      </c>
      <c r="E81" s="30">
        <f>SUM(E51:E80)</f>
        <v>3400</v>
      </c>
      <c r="F81" s="29" t="s">
        <v>11</v>
      </c>
      <c r="G81" s="30">
        <f>SUM(G51:G80)</f>
        <v>660</v>
      </c>
      <c r="H81" s="29" t="s">
        <v>11</v>
      </c>
      <c r="I81" s="30">
        <f>SUM(I51:I80)</f>
        <v>0</v>
      </c>
      <c r="J81" s="29" t="s">
        <v>11</v>
      </c>
      <c r="K81" s="30">
        <f>SUM(K51:K80)</f>
        <v>660</v>
      </c>
      <c r="L81" s="29" t="s">
        <v>11</v>
      </c>
      <c r="M81" s="30">
        <f>SUM(M51:M80)</f>
        <v>1980</v>
      </c>
      <c r="N81" s="29" t="s">
        <v>11</v>
      </c>
      <c r="O81" s="30">
        <f>SUM(O51:O80)</f>
        <v>0</v>
      </c>
      <c r="P81" s="29" t="s">
        <v>11</v>
      </c>
      <c r="Q81" s="30">
        <f>SUM(Q51:Q80)</f>
        <v>1340</v>
      </c>
      <c r="R81" s="29" t="s">
        <v>11</v>
      </c>
      <c r="S81" s="27">
        <f>SUM(S51:S80)</f>
        <v>680</v>
      </c>
    </row>
    <row r="82" spans="1:19" ht="39" customHeight="1" thickBot="1">
      <c r="A82" s="150"/>
      <c r="B82" s="31" t="s">
        <v>14</v>
      </c>
      <c r="C82" s="30">
        <f>IF(C81=0,9,RANK(C81,$C$81:$S$81,0))</f>
        <v>3</v>
      </c>
      <c r="D82" s="31" t="s">
        <v>14</v>
      </c>
      <c r="E82" s="30">
        <f t="shared" ref="E82" si="50">IF(E81=0,9,RANK(E81,$C$81:$S$81,0))</f>
        <v>1</v>
      </c>
      <c r="F82" s="31" t="s">
        <v>14</v>
      </c>
      <c r="G82" s="30">
        <f t="shared" ref="G82" si="51">IF(G81=0,9,RANK(G81,$C$81:$S$81,0))</f>
        <v>6</v>
      </c>
      <c r="H82" s="31" t="s">
        <v>14</v>
      </c>
      <c r="I82" s="30">
        <f t="shared" ref="I82" si="52">IF(I81=0,9,RANK(I81,$C$81:$S$81,0))</f>
        <v>9</v>
      </c>
      <c r="J82" s="31" t="s">
        <v>14</v>
      </c>
      <c r="K82" s="30">
        <f t="shared" ref="K82" si="53">IF(K81=0,9,RANK(K81,$C$81:$S$81,0))</f>
        <v>6</v>
      </c>
      <c r="L82" s="31" t="s">
        <v>14</v>
      </c>
      <c r="M82" s="30">
        <f t="shared" ref="M82" si="54">IF(M81=0,9,RANK(M81,$C$81:$S$81,0))</f>
        <v>2</v>
      </c>
      <c r="N82" s="31" t="s">
        <v>14</v>
      </c>
      <c r="O82" s="30">
        <f t="shared" ref="O82" si="55">IF(O81=0,9,RANK(O81,$C$81:$S$81,0))</f>
        <v>9</v>
      </c>
      <c r="P82" s="31" t="s">
        <v>14</v>
      </c>
      <c r="Q82" s="30">
        <f t="shared" ref="Q82" si="56">IF(Q81=0,9,RANK(Q81,$C$81:$S$81,0))</f>
        <v>4</v>
      </c>
      <c r="R82" s="31" t="s">
        <v>14</v>
      </c>
      <c r="S82" s="38">
        <f t="shared" ref="S82" si="57">IF(S81=0,9,RANK(S81,$C$81:$S$81,0))</f>
        <v>5</v>
      </c>
    </row>
    <row r="83" spans="1:19">
      <c r="A83" s="32"/>
      <c r="B83" s="141" t="s">
        <v>29</v>
      </c>
      <c r="C83" s="137">
        <f>COUNT(B51:B80)</f>
        <v>3</v>
      </c>
      <c r="D83" s="141" t="s">
        <v>29</v>
      </c>
      <c r="E83" s="137">
        <f t="shared" ref="E83" si="58">COUNT(D51:D80)</f>
        <v>5</v>
      </c>
      <c r="F83" s="141" t="s">
        <v>29</v>
      </c>
      <c r="G83" s="137">
        <f t="shared" ref="G83" si="59">COUNT(F51:F80)</f>
        <v>1</v>
      </c>
      <c r="H83" s="141" t="s">
        <v>29</v>
      </c>
      <c r="I83" s="137">
        <f t="shared" ref="I83" si="60">COUNT(H51:H80)</f>
        <v>0</v>
      </c>
      <c r="J83" s="141" t="s">
        <v>29</v>
      </c>
      <c r="K83" s="137">
        <f t="shared" ref="K83" si="61">COUNT(J51:J80)</f>
        <v>1</v>
      </c>
      <c r="L83" s="141" t="s">
        <v>29</v>
      </c>
      <c r="M83" s="137">
        <f t="shared" ref="M83" si="62">COUNT(L51:L80)</f>
        <v>3</v>
      </c>
      <c r="N83" s="141" t="s">
        <v>29</v>
      </c>
      <c r="O83" s="137">
        <f t="shared" ref="O83" si="63">COUNT(N51:N80)</f>
        <v>0</v>
      </c>
      <c r="P83" s="141" t="s">
        <v>29</v>
      </c>
      <c r="Q83" s="148">
        <f t="shared" ref="Q83" si="64">COUNT(P51:P80)</f>
        <v>2</v>
      </c>
      <c r="R83" s="141" t="s">
        <v>29</v>
      </c>
      <c r="S83" s="138">
        <f t="shared" ref="S83" si="65">COUNT(R51:R80)</f>
        <v>1</v>
      </c>
    </row>
    <row r="84" spans="1:19">
      <c r="A84" s="32"/>
      <c r="B84" s="141"/>
      <c r="C84" s="137"/>
      <c r="D84" s="141"/>
      <c r="E84" s="137"/>
      <c r="F84" s="141"/>
      <c r="G84" s="137"/>
      <c r="H84" s="141"/>
      <c r="I84" s="137"/>
      <c r="J84" s="141"/>
      <c r="K84" s="137"/>
      <c r="L84" s="141"/>
      <c r="M84" s="137"/>
      <c r="N84" s="141"/>
      <c r="O84" s="137"/>
      <c r="P84" s="141"/>
      <c r="Q84" s="148"/>
      <c r="R84" s="141"/>
      <c r="S84" s="138"/>
    </row>
    <row r="85" spans="1:19">
      <c r="A85" s="32"/>
      <c r="B85" s="141"/>
      <c r="C85" s="137"/>
      <c r="D85" s="141"/>
      <c r="E85" s="137"/>
      <c r="F85" s="141"/>
      <c r="G85" s="137"/>
      <c r="H85" s="141"/>
      <c r="I85" s="137"/>
      <c r="J85" s="141"/>
      <c r="K85" s="137"/>
      <c r="L85" s="141"/>
      <c r="M85" s="137"/>
      <c r="N85" s="141"/>
      <c r="O85" s="137"/>
      <c r="P85" s="141"/>
      <c r="Q85" s="148"/>
      <c r="R85" s="141"/>
      <c r="S85" s="138"/>
    </row>
    <row r="86" spans="1:19" ht="33.75" customHeight="1" thickBot="1">
      <c r="A86" s="33"/>
      <c r="B86" s="34" t="s">
        <v>30</v>
      </c>
      <c r="C86" s="34">
        <f>MAX(B51:B80)</f>
        <v>37</v>
      </c>
      <c r="D86" s="34" t="s">
        <v>30</v>
      </c>
      <c r="E86" s="34">
        <f t="shared" ref="E86" si="66">MAX(D51:D80)</f>
        <v>36</v>
      </c>
      <c r="F86" s="34" t="s">
        <v>30</v>
      </c>
      <c r="G86" s="34">
        <f t="shared" ref="G86" si="67">MAX(F51:F80)</f>
        <v>28</v>
      </c>
      <c r="H86" s="34" t="s">
        <v>30</v>
      </c>
      <c r="I86" s="34">
        <f t="shared" ref="I86" si="68">MAX(H51:H80)</f>
        <v>0</v>
      </c>
      <c r="J86" s="34" t="s">
        <v>30</v>
      </c>
      <c r="K86" s="34">
        <f t="shared" ref="K86" si="69">MAX(J51:J80)</f>
        <v>28</v>
      </c>
      <c r="L86" s="34" t="s">
        <v>30</v>
      </c>
      <c r="M86" s="34">
        <f t="shared" ref="M86" si="70">MAX(L51:L80)</f>
        <v>35</v>
      </c>
      <c r="N86" s="34" t="s">
        <v>30</v>
      </c>
      <c r="O86" s="34">
        <f t="shared" ref="O86" si="71">MAX(N51:N80)</f>
        <v>0</v>
      </c>
      <c r="P86" s="34" t="s">
        <v>30</v>
      </c>
      <c r="Q86" s="72">
        <f t="shared" ref="Q86" si="72">MAX(P51:P80)</f>
        <v>32</v>
      </c>
      <c r="R86" s="34" t="s">
        <v>30</v>
      </c>
      <c r="S86" s="73">
        <f t="shared" ref="S86" si="73">MAX(R51:R80)</f>
        <v>29</v>
      </c>
    </row>
    <row r="87" spans="1:19">
      <c r="A87" s="14"/>
      <c r="B87" s="14"/>
      <c r="C87" s="14"/>
      <c r="D87" s="14"/>
      <c r="E87" s="14"/>
      <c r="F87" s="14"/>
      <c r="G87" s="14"/>
      <c r="H87" s="14"/>
      <c r="I87" s="14"/>
      <c r="J87" s="14"/>
      <c r="K87" s="14"/>
      <c r="L87" s="14"/>
      <c r="M87" s="14"/>
      <c r="N87" s="14"/>
      <c r="O87" s="14"/>
      <c r="P87" s="14"/>
      <c r="Q87" s="14"/>
      <c r="R87" s="14"/>
      <c r="S87" s="14"/>
    </row>
    <row r="88" spans="1:19" ht="15.75" thickBot="1">
      <c r="A88" s="14"/>
      <c r="B88" s="14"/>
      <c r="C88" s="14"/>
      <c r="D88" s="14"/>
      <c r="E88" s="14"/>
      <c r="F88" s="14"/>
      <c r="G88" s="14"/>
      <c r="H88" s="14"/>
      <c r="I88" s="14"/>
      <c r="J88" s="14"/>
      <c r="K88" s="14"/>
      <c r="L88" s="14"/>
      <c r="M88" s="14"/>
      <c r="N88" s="14"/>
      <c r="O88" s="14"/>
      <c r="P88" s="14"/>
      <c r="Q88" s="14"/>
      <c r="R88" s="14"/>
      <c r="S88" s="14"/>
    </row>
    <row r="89" spans="1:19" ht="15" customHeight="1">
      <c r="A89" s="142" t="s">
        <v>17</v>
      </c>
      <c r="B89" s="143"/>
      <c r="C89" s="143"/>
      <c r="D89" s="143"/>
      <c r="E89" s="143"/>
      <c r="F89" s="143"/>
      <c r="G89" s="143"/>
      <c r="H89" s="143"/>
      <c r="I89" s="143"/>
      <c r="J89" s="143"/>
      <c r="K89" s="143"/>
      <c r="L89" s="143"/>
      <c r="M89" s="143"/>
      <c r="N89" s="143"/>
      <c r="O89" s="143"/>
      <c r="P89" s="143"/>
      <c r="Q89" s="143"/>
      <c r="R89" s="143"/>
      <c r="S89" s="144"/>
    </row>
    <row r="90" spans="1:19" ht="15" customHeight="1">
      <c r="A90" s="145"/>
      <c r="B90" s="146"/>
      <c r="C90" s="146"/>
      <c r="D90" s="146"/>
      <c r="E90" s="146"/>
      <c r="F90" s="146"/>
      <c r="G90" s="146"/>
      <c r="H90" s="146"/>
      <c r="I90" s="146"/>
      <c r="J90" s="146"/>
      <c r="K90" s="146"/>
      <c r="L90" s="146"/>
      <c r="M90" s="146"/>
      <c r="N90" s="146"/>
      <c r="O90" s="146"/>
      <c r="P90" s="146"/>
      <c r="Q90" s="146"/>
      <c r="R90" s="146"/>
      <c r="S90" s="147"/>
    </row>
    <row r="91" spans="1:19">
      <c r="A91" s="152" t="s">
        <v>15</v>
      </c>
      <c r="B91" s="137" t="s">
        <v>10</v>
      </c>
      <c r="C91" s="137"/>
      <c r="D91" s="137" t="s">
        <v>10</v>
      </c>
      <c r="E91" s="137"/>
      <c r="F91" s="137" t="s">
        <v>10</v>
      </c>
      <c r="G91" s="137"/>
      <c r="H91" s="137" t="s">
        <v>10</v>
      </c>
      <c r="I91" s="137"/>
      <c r="J91" s="137" t="s">
        <v>10</v>
      </c>
      <c r="K91" s="137"/>
      <c r="L91" s="137" t="s">
        <v>10</v>
      </c>
      <c r="M91" s="137"/>
      <c r="N91" s="137" t="s">
        <v>10</v>
      </c>
      <c r="O91" s="137"/>
      <c r="P91" s="137" t="s">
        <v>10</v>
      </c>
      <c r="Q91" s="148"/>
      <c r="R91" s="137" t="s">
        <v>10</v>
      </c>
      <c r="S91" s="138"/>
    </row>
    <row r="92" spans="1:19" ht="18.75">
      <c r="A92" s="152"/>
      <c r="B92" s="139" t="str">
        <f>TABELA!F10</f>
        <v>BOJAN GOVEDARICA</v>
      </c>
      <c r="C92" s="139"/>
      <c r="D92" s="139" t="str">
        <f>TABELA!F11</f>
        <v>VLATKO PEKOVIĆ</v>
      </c>
      <c r="E92" s="139"/>
      <c r="F92" s="139" t="str">
        <f>TABELA!F12</f>
        <v>BOŠKO VULEVIĆ</v>
      </c>
      <c r="G92" s="139"/>
      <c r="H92" s="139" t="str">
        <f>TABELA!F13</f>
        <v>ORHAN BAŠIĆ</v>
      </c>
      <c r="I92" s="139"/>
      <c r="J92" s="139" t="str">
        <f>TABELA!F14</f>
        <v>MILAN FUŠTIĆ</v>
      </c>
      <c r="K92" s="139"/>
      <c r="L92" s="139" t="str">
        <f>TABELA!F15</f>
        <v>RADOVAN KRKOVIĆ</v>
      </c>
      <c r="M92" s="139"/>
      <c r="N92" s="139" t="str">
        <f>TABELA!F16</f>
        <v>NIKOLA ĐALOVIĆ</v>
      </c>
      <c r="O92" s="139"/>
      <c r="P92" s="139" t="str">
        <f>TABELA!F17</f>
        <v>KEMAL AJANOVIĆ</v>
      </c>
      <c r="Q92" s="151"/>
      <c r="R92" s="139" t="str">
        <f>TABELA!F18</f>
        <v>NIKOLA POPOVIĆ</v>
      </c>
      <c r="S92" s="140"/>
    </row>
    <row r="93" spans="1:19">
      <c r="A93" s="152"/>
      <c r="B93" s="25" t="s">
        <v>12</v>
      </c>
      <c r="C93" s="25" t="s">
        <v>13</v>
      </c>
      <c r="D93" s="25" t="s">
        <v>12</v>
      </c>
      <c r="E93" s="25" t="s">
        <v>13</v>
      </c>
      <c r="F93" s="25" t="s">
        <v>12</v>
      </c>
      <c r="G93" s="25" t="s">
        <v>13</v>
      </c>
      <c r="H93" s="25" t="s">
        <v>12</v>
      </c>
      <c r="I93" s="25" t="s">
        <v>13</v>
      </c>
      <c r="J93" s="25" t="s">
        <v>12</v>
      </c>
      <c r="K93" s="25" t="s">
        <v>13</v>
      </c>
      <c r="L93" s="25" t="s">
        <v>12</v>
      </c>
      <c r="M93" s="25" t="s">
        <v>13</v>
      </c>
      <c r="N93" s="25" t="s">
        <v>12</v>
      </c>
      <c r="O93" s="25" t="s">
        <v>13</v>
      </c>
      <c r="P93" s="25" t="s">
        <v>12</v>
      </c>
      <c r="Q93" s="26" t="s">
        <v>13</v>
      </c>
      <c r="R93" s="25" t="s">
        <v>12</v>
      </c>
      <c r="S93" s="27" t="s">
        <v>13</v>
      </c>
    </row>
    <row r="94" spans="1:19">
      <c r="A94" s="28">
        <v>1</v>
      </c>
      <c r="B94" s="25">
        <v>21</v>
      </c>
      <c r="C94" s="25">
        <f>IF(B94,B94*20+100,0)</f>
        <v>520</v>
      </c>
      <c r="D94" s="25">
        <v>28</v>
      </c>
      <c r="E94" s="25">
        <f>IF(D94,D94*20+100,0)</f>
        <v>660</v>
      </c>
      <c r="F94" s="25">
        <v>23</v>
      </c>
      <c r="G94" s="25">
        <f>IF(F94,F94*20+100,0)</f>
        <v>560</v>
      </c>
      <c r="H94" s="25"/>
      <c r="I94" s="25">
        <f>IF(H94,H94*20+100,0)</f>
        <v>0</v>
      </c>
      <c r="J94" s="25">
        <v>27</v>
      </c>
      <c r="K94" s="25">
        <f>IF(J94,J94*20+100,0)</f>
        <v>640</v>
      </c>
      <c r="L94" s="25">
        <v>36</v>
      </c>
      <c r="M94" s="25">
        <f>IF(L94,L94*20+100,0)</f>
        <v>820</v>
      </c>
      <c r="N94" s="25">
        <v>28</v>
      </c>
      <c r="O94" s="25">
        <f>IF(N94,N94*20+100,0)</f>
        <v>660</v>
      </c>
      <c r="P94" s="25">
        <v>20</v>
      </c>
      <c r="Q94" s="26">
        <f>IF(P94,P94*20+100,0)</f>
        <v>500</v>
      </c>
      <c r="R94" s="25">
        <v>21</v>
      </c>
      <c r="S94" s="27">
        <f>IF(R94,R94*20+100,0)</f>
        <v>520</v>
      </c>
    </row>
    <row r="95" spans="1:19">
      <c r="A95" s="28">
        <v>2</v>
      </c>
      <c r="B95" s="25">
        <v>29</v>
      </c>
      <c r="C95" s="25">
        <f t="shared" ref="C95:C123" si="74">IF(B95,B95*20+100,0)</f>
        <v>680</v>
      </c>
      <c r="D95" s="25">
        <v>25</v>
      </c>
      <c r="E95" s="25">
        <f t="shared" ref="E95:E123" si="75">IF(D95,D95*20+100,0)</f>
        <v>600</v>
      </c>
      <c r="F95" s="25">
        <v>28</v>
      </c>
      <c r="G95" s="25">
        <f t="shared" ref="G95:G123" si="76">IF(F95,F95*20+100,0)</f>
        <v>660</v>
      </c>
      <c r="H95" s="25"/>
      <c r="I95" s="25">
        <f t="shared" ref="I95:I123" si="77">IF(H95,H95*20+100,0)</f>
        <v>0</v>
      </c>
      <c r="J95" s="25">
        <v>31</v>
      </c>
      <c r="K95" s="25">
        <f t="shared" ref="K95:K123" si="78">IF(J95,J95*20+100,0)</f>
        <v>720</v>
      </c>
      <c r="L95" s="25">
        <v>22</v>
      </c>
      <c r="M95" s="25">
        <f t="shared" ref="M95:M123" si="79">IF(L95,L95*20+100,0)</f>
        <v>540</v>
      </c>
      <c r="N95" s="25">
        <v>27</v>
      </c>
      <c r="O95" s="25">
        <f t="shared" ref="O95:O123" si="80">IF(N95,N95*20+100,0)</f>
        <v>640</v>
      </c>
      <c r="P95" s="25">
        <v>26</v>
      </c>
      <c r="Q95" s="26">
        <f t="shared" ref="Q95:Q123" si="81">IF(P95,P95*20+100,0)</f>
        <v>620</v>
      </c>
      <c r="R95" s="25">
        <v>28</v>
      </c>
      <c r="S95" s="27">
        <f t="shared" ref="S95:S123" si="82">IF(R95,R95*20+100,0)</f>
        <v>660</v>
      </c>
    </row>
    <row r="96" spans="1:19">
      <c r="A96" s="28">
        <v>3</v>
      </c>
      <c r="B96" s="25">
        <v>28</v>
      </c>
      <c r="C96" s="25">
        <f t="shared" si="74"/>
        <v>660</v>
      </c>
      <c r="D96" s="25"/>
      <c r="E96" s="25">
        <f t="shared" si="75"/>
        <v>0</v>
      </c>
      <c r="F96" s="25">
        <v>33</v>
      </c>
      <c r="G96" s="25">
        <f t="shared" si="76"/>
        <v>760</v>
      </c>
      <c r="H96" s="25"/>
      <c r="I96" s="25">
        <f t="shared" si="77"/>
        <v>0</v>
      </c>
      <c r="J96" s="25"/>
      <c r="K96" s="25">
        <f t="shared" si="78"/>
        <v>0</v>
      </c>
      <c r="L96" s="25">
        <v>27</v>
      </c>
      <c r="M96" s="25">
        <f t="shared" si="79"/>
        <v>640</v>
      </c>
      <c r="N96" s="25">
        <v>28</v>
      </c>
      <c r="O96" s="25">
        <f t="shared" si="80"/>
        <v>660</v>
      </c>
      <c r="P96" s="25">
        <v>24</v>
      </c>
      <c r="Q96" s="26">
        <f t="shared" si="81"/>
        <v>580</v>
      </c>
      <c r="R96" s="25">
        <v>28</v>
      </c>
      <c r="S96" s="27">
        <f t="shared" si="82"/>
        <v>660</v>
      </c>
    </row>
    <row r="97" spans="1:19">
      <c r="A97" s="28">
        <v>4</v>
      </c>
      <c r="B97" s="25"/>
      <c r="C97" s="25">
        <f t="shared" si="74"/>
        <v>0</v>
      </c>
      <c r="D97" s="25"/>
      <c r="E97" s="25">
        <f t="shared" si="75"/>
        <v>0</v>
      </c>
      <c r="F97" s="25"/>
      <c r="G97" s="25">
        <f t="shared" si="76"/>
        <v>0</v>
      </c>
      <c r="H97" s="25"/>
      <c r="I97" s="25">
        <f t="shared" si="77"/>
        <v>0</v>
      </c>
      <c r="J97" s="25"/>
      <c r="K97" s="25">
        <f t="shared" si="78"/>
        <v>0</v>
      </c>
      <c r="L97" s="25">
        <v>28</v>
      </c>
      <c r="M97" s="25">
        <f t="shared" si="79"/>
        <v>660</v>
      </c>
      <c r="N97" s="25"/>
      <c r="O97" s="25">
        <f t="shared" si="80"/>
        <v>0</v>
      </c>
      <c r="P97" s="25"/>
      <c r="Q97" s="26">
        <f t="shared" si="81"/>
        <v>0</v>
      </c>
      <c r="R97" s="25">
        <v>24</v>
      </c>
      <c r="S97" s="27">
        <f t="shared" si="82"/>
        <v>580</v>
      </c>
    </row>
    <row r="98" spans="1:19">
      <c r="A98" s="28">
        <v>5</v>
      </c>
      <c r="B98" s="25"/>
      <c r="C98" s="25">
        <f t="shared" si="74"/>
        <v>0</v>
      </c>
      <c r="D98" s="25"/>
      <c r="E98" s="25">
        <f t="shared" si="75"/>
        <v>0</v>
      </c>
      <c r="F98" s="25"/>
      <c r="G98" s="25">
        <f t="shared" si="76"/>
        <v>0</v>
      </c>
      <c r="H98" s="25"/>
      <c r="I98" s="25">
        <f t="shared" si="77"/>
        <v>0</v>
      </c>
      <c r="J98" s="25"/>
      <c r="K98" s="25">
        <f t="shared" si="78"/>
        <v>0</v>
      </c>
      <c r="L98" s="25">
        <v>31</v>
      </c>
      <c r="M98" s="25">
        <f t="shared" si="79"/>
        <v>720</v>
      </c>
      <c r="N98" s="25"/>
      <c r="O98" s="25">
        <f t="shared" si="80"/>
        <v>0</v>
      </c>
      <c r="P98" s="25"/>
      <c r="Q98" s="26">
        <f t="shared" si="81"/>
        <v>0</v>
      </c>
      <c r="R98" s="25"/>
      <c r="S98" s="27">
        <f t="shared" si="82"/>
        <v>0</v>
      </c>
    </row>
    <row r="99" spans="1:19">
      <c r="A99" s="28">
        <v>6</v>
      </c>
      <c r="B99" s="25"/>
      <c r="C99" s="25">
        <f t="shared" si="74"/>
        <v>0</v>
      </c>
      <c r="D99" s="25"/>
      <c r="E99" s="25">
        <f t="shared" si="75"/>
        <v>0</v>
      </c>
      <c r="F99" s="25"/>
      <c r="G99" s="25">
        <f t="shared" si="76"/>
        <v>0</v>
      </c>
      <c r="H99" s="25"/>
      <c r="I99" s="25">
        <f t="shared" si="77"/>
        <v>0</v>
      </c>
      <c r="J99" s="25"/>
      <c r="K99" s="25">
        <f t="shared" si="78"/>
        <v>0</v>
      </c>
      <c r="L99" s="25">
        <v>35</v>
      </c>
      <c r="M99" s="25">
        <f t="shared" si="79"/>
        <v>800</v>
      </c>
      <c r="N99" s="25"/>
      <c r="O99" s="25">
        <f t="shared" si="80"/>
        <v>0</v>
      </c>
      <c r="P99" s="25"/>
      <c r="Q99" s="26">
        <f t="shared" si="81"/>
        <v>0</v>
      </c>
      <c r="R99" s="25"/>
      <c r="S99" s="27">
        <f t="shared" si="82"/>
        <v>0</v>
      </c>
    </row>
    <row r="100" spans="1:19">
      <c r="A100" s="28">
        <v>7</v>
      </c>
      <c r="B100" s="25"/>
      <c r="C100" s="25">
        <f t="shared" si="74"/>
        <v>0</v>
      </c>
      <c r="D100" s="25"/>
      <c r="E100" s="25">
        <f t="shared" si="75"/>
        <v>0</v>
      </c>
      <c r="F100" s="25"/>
      <c r="G100" s="25">
        <f t="shared" si="76"/>
        <v>0</v>
      </c>
      <c r="H100" s="25"/>
      <c r="I100" s="25">
        <f t="shared" si="77"/>
        <v>0</v>
      </c>
      <c r="J100" s="25"/>
      <c r="K100" s="25">
        <f t="shared" si="78"/>
        <v>0</v>
      </c>
      <c r="L100" s="25">
        <v>25</v>
      </c>
      <c r="M100" s="25">
        <f t="shared" si="79"/>
        <v>600</v>
      </c>
      <c r="N100" s="25"/>
      <c r="O100" s="25">
        <f t="shared" si="80"/>
        <v>0</v>
      </c>
      <c r="P100" s="25"/>
      <c r="Q100" s="26">
        <f t="shared" si="81"/>
        <v>0</v>
      </c>
      <c r="R100" s="25"/>
      <c r="S100" s="27">
        <f t="shared" si="82"/>
        <v>0</v>
      </c>
    </row>
    <row r="101" spans="1:19">
      <c r="A101" s="28">
        <v>8</v>
      </c>
      <c r="B101" s="25"/>
      <c r="C101" s="25">
        <f t="shared" si="74"/>
        <v>0</v>
      </c>
      <c r="D101" s="25"/>
      <c r="E101" s="25">
        <f t="shared" si="75"/>
        <v>0</v>
      </c>
      <c r="F101" s="25"/>
      <c r="G101" s="25">
        <f t="shared" si="76"/>
        <v>0</v>
      </c>
      <c r="H101" s="25"/>
      <c r="I101" s="25">
        <f t="shared" si="77"/>
        <v>0</v>
      </c>
      <c r="J101" s="25"/>
      <c r="K101" s="25">
        <f t="shared" si="78"/>
        <v>0</v>
      </c>
      <c r="L101" s="25"/>
      <c r="M101" s="25">
        <f t="shared" si="79"/>
        <v>0</v>
      </c>
      <c r="N101" s="25"/>
      <c r="O101" s="25">
        <f t="shared" si="80"/>
        <v>0</v>
      </c>
      <c r="P101" s="25"/>
      <c r="Q101" s="26">
        <f t="shared" si="81"/>
        <v>0</v>
      </c>
      <c r="R101" s="25"/>
      <c r="S101" s="27">
        <f t="shared" si="82"/>
        <v>0</v>
      </c>
    </row>
    <row r="102" spans="1:19">
      <c r="A102" s="28">
        <v>9</v>
      </c>
      <c r="B102" s="25"/>
      <c r="C102" s="25">
        <f t="shared" si="74"/>
        <v>0</v>
      </c>
      <c r="D102" s="25"/>
      <c r="E102" s="25">
        <f t="shared" si="75"/>
        <v>0</v>
      </c>
      <c r="F102" s="25"/>
      <c r="G102" s="25">
        <f t="shared" si="76"/>
        <v>0</v>
      </c>
      <c r="H102" s="25"/>
      <c r="I102" s="25">
        <f t="shared" si="77"/>
        <v>0</v>
      </c>
      <c r="J102" s="25"/>
      <c r="K102" s="25">
        <f t="shared" si="78"/>
        <v>0</v>
      </c>
      <c r="L102" s="25"/>
      <c r="M102" s="25">
        <f t="shared" si="79"/>
        <v>0</v>
      </c>
      <c r="N102" s="25"/>
      <c r="O102" s="25">
        <f t="shared" si="80"/>
        <v>0</v>
      </c>
      <c r="P102" s="25"/>
      <c r="Q102" s="26">
        <f t="shared" si="81"/>
        <v>0</v>
      </c>
      <c r="R102" s="25"/>
      <c r="S102" s="27">
        <f t="shared" si="82"/>
        <v>0</v>
      </c>
    </row>
    <row r="103" spans="1:19">
      <c r="A103" s="28">
        <v>10</v>
      </c>
      <c r="B103" s="25"/>
      <c r="C103" s="25">
        <f t="shared" si="74"/>
        <v>0</v>
      </c>
      <c r="D103" s="25"/>
      <c r="E103" s="25">
        <f t="shared" si="75"/>
        <v>0</v>
      </c>
      <c r="F103" s="25"/>
      <c r="G103" s="25">
        <f t="shared" si="76"/>
        <v>0</v>
      </c>
      <c r="H103" s="25"/>
      <c r="I103" s="25">
        <f t="shared" si="77"/>
        <v>0</v>
      </c>
      <c r="J103" s="25"/>
      <c r="K103" s="25">
        <f t="shared" si="78"/>
        <v>0</v>
      </c>
      <c r="L103" s="25"/>
      <c r="M103" s="25">
        <f t="shared" si="79"/>
        <v>0</v>
      </c>
      <c r="N103" s="25"/>
      <c r="O103" s="25">
        <f t="shared" si="80"/>
        <v>0</v>
      </c>
      <c r="P103" s="25"/>
      <c r="Q103" s="26">
        <f t="shared" si="81"/>
        <v>0</v>
      </c>
      <c r="R103" s="25"/>
      <c r="S103" s="27">
        <f t="shared" si="82"/>
        <v>0</v>
      </c>
    </row>
    <row r="104" spans="1:19">
      <c r="A104" s="28">
        <v>11</v>
      </c>
      <c r="B104" s="25"/>
      <c r="C104" s="25">
        <f t="shared" si="74"/>
        <v>0</v>
      </c>
      <c r="D104" s="25"/>
      <c r="E104" s="25">
        <f t="shared" si="75"/>
        <v>0</v>
      </c>
      <c r="F104" s="25"/>
      <c r="G104" s="25">
        <f t="shared" si="76"/>
        <v>0</v>
      </c>
      <c r="H104" s="25"/>
      <c r="I104" s="25">
        <f t="shared" si="77"/>
        <v>0</v>
      </c>
      <c r="J104" s="25"/>
      <c r="K104" s="25">
        <f t="shared" si="78"/>
        <v>0</v>
      </c>
      <c r="L104" s="25"/>
      <c r="M104" s="25">
        <f t="shared" si="79"/>
        <v>0</v>
      </c>
      <c r="N104" s="25"/>
      <c r="O104" s="25">
        <f t="shared" si="80"/>
        <v>0</v>
      </c>
      <c r="P104" s="25"/>
      <c r="Q104" s="26">
        <f t="shared" si="81"/>
        <v>0</v>
      </c>
      <c r="R104" s="25"/>
      <c r="S104" s="27">
        <f t="shared" si="82"/>
        <v>0</v>
      </c>
    </row>
    <row r="105" spans="1:19">
      <c r="A105" s="28">
        <v>12</v>
      </c>
      <c r="B105" s="25"/>
      <c r="C105" s="25">
        <f t="shared" si="74"/>
        <v>0</v>
      </c>
      <c r="D105" s="25"/>
      <c r="E105" s="25">
        <f t="shared" si="75"/>
        <v>0</v>
      </c>
      <c r="F105" s="25"/>
      <c r="G105" s="25">
        <f t="shared" si="76"/>
        <v>0</v>
      </c>
      <c r="H105" s="25"/>
      <c r="I105" s="25">
        <f t="shared" si="77"/>
        <v>0</v>
      </c>
      <c r="J105" s="25"/>
      <c r="K105" s="25">
        <f t="shared" si="78"/>
        <v>0</v>
      </c>
      <c r="L105" s="25"/>
      <c r="M105" s="25">
        <f t="shared" si="79"/>
        <v>0</v>
      </c>
      <c r="N105" s="25"/>
      <c r="O105" s="25">
        <f t="shared" si="80"/>
        <v>0</v>
      </c>
      <c r="P105" s="25"/>
      <c r="Q105" s="26">
        <f t="shared" si="81"/>
        <v>0</v>
      </c>
      <c r="R105" s="25"/>
      <c r="S105" s="27">
        <f t="shared" si="82"/>
        <v>0</v>
      </c>
    </row>
    <row r="106" spans="1:19">
      <c r="A106" s="28">
        <v>13</v>
      </c>
      <c r="B106" s="25"/>
      <c r="C106" s="25">
        <f t="shared" si="74"/>
        <v>0</v>
      </c>
      <c r="D106" s="25"/>
      <c r="E106" s="25">
        <f t="shared" si="75"/>
        <v>0</v>
      </c>
      <c r="F106" s="25"/>
      <c r="G106" s="25">
        <f t="shared" si="76"/>
        <v>0</v>
      </c>
      <c r="H106" s="25"/>
      <c r="I106" s="25">
        <f t="shared" si="77"/>
        <v>0</v>
      </c>
      <c r="J106" s="25"/>
      <c r="K106" s="25">
        <f t="shared" si="78"/>
        <v>0</v>
      </c>
      <c r="L106" s="25"/>
      <c r="M106" s="25">
        <f t="shared" si="79"/>
        <v>0</v>
      </c>
      <c r="N106" s="25"/>
      <c r="O106" s="25">
        <f t="shared" si="80"/>
        <v>0</v>
      </c>
      <c r="P106" s="25"/>
      <c r="Q106" s="26">
        <f t="shared" si="81"/>
        <v>0</v>
      </c>
      <c r="R106" s="25"/>
      <c r="S106" s="27">
        <f t="shared" si="82"/>
        <v>0</v>
      </c>
    </row>
    <row r="107" spans="1:19">
      <c r="A107" s="28">
        <v>14</v>
      </c>
      <c r="B107" s="25"/>
      <c r="C107" s="25">
        <f t="shared" si="74"/>
        <v>0</v>
      </c>
      <c r="D107" s="25"/>
      <c r="E107" s="25">
        <f t="shared" si="75"/>
        <v>0</v>
      </c>
      <c r="F107" s="25"/>
      <c r="G107" s="25">
        <f t="shared" si="76"/>
        <v>0</v>
      </c>
      <c r="H107" s="25"/>
      <c r="I107" s="25">
        <f t="shared" si="77"/>
        <v>0</v>
      </c>
      <c r="J107" s="25"/>
      <c r="K107" s="25">
        <f t="shared" si="78"/>
        <v>0</v>
      </c>
      <c r="L107" s="25"/>
      <c r="M107" s="25">
        <f t="shared" si="79"/>
        <v>0</v>
      </c>
      <c r="N107" s="25"/>
      <c r="O107" s="25">
        <f t="shared" si="80"/>
        <v>0</v>
      </c>
      <c r="P107" s="25"/>
      <c r="Q107" s="26">
        <f t="shared" si="81"/>
        <v>0</v>
      </c>
      <c r="R107" s="25"/>
      <c r="S107" s="27">
        <f t="shared" si="82"/>
        <v>0</v>
      </c>
    </row>
    <row r="108" spans="1:19">
      <c r="A108" s="28">
        <v>15</v>
      </c>
      <c r="B108" s="25"/>
      <c r="C108" s="25">
        <f t="shared" si="74"/>
        <v>0</v>
      </c>
      <c r="D108" s="25"/>
      <c r="E108" s="25">
        <f t="shared" si="75"/>
        <v>0</v>
      </c>
      <c r="F108" s="25"/>
      <c r="G108" s="25">
        <f t="shared" si="76"/>
        <v>0</v>
      </c>
      <c r="H108" s="25"/>
      <c r="I108" s="25">
        <f t="shared" si="77"/>
        <v>0</v>
      </c>
      <c r="J108" s="25"/>
      <c r="K108" s="25">
        <f t="shared" si="78"/>
        <v>0</v>
      </c>
      <c r="L108" s="25"/>
      <c r="M108" s="25">
        <f t="shared" si="79"/>
        <v>0</v>
      </c>
      <c r="N108" s="25"/>
      <c r="O108" s="25">
        <f t="shared" si="80"/>
        <v>0</v>
      </c>
      <c r="P108" s="25"/>
      <c r="Q108" s="26">
        <f t="shared" si="81"/>
        <v>0</v>
      </c>
      <c r="R108" s="25"/>
      <c r="S108" s="27">
        <f t="shared" si="82"/>
        <v>0</v>
      </c>
    </row>
    <row r="109" spans="1:19">
      <c r="A109" s="28">
        <v>16</v>
      </c>
      <c r="B109" s="25"/>
      <c r="C109" s="25">
        <f t="shared" si="74"/>
        <v>0</v>
      </c>
      <c r="D109" s="25"/>
      <c r="E109" s="25">
        <f t="shared" si="75"/>
        <v>0</v>
      </c>
      <c r="F109" s="25"/>
      <c r="G109" s="25">
        <f t="shared" si="76"/>
        <v>0</v>
      </c>
      <c r="H109" s="25"/>
      <c r="I109" s="25">
        <f t="shared" si="77"/>
        <v>0</v>
      </c>
      <c r="J109" s="25"/>
      <c r="K109" s="25">
        <f t="shared" si="78"/>
        <v>0</v>
      </c>
      <c r="L109" s="25"/>
      <c r="M109" s="25">
        <f t="shared" si="79"/>
        <v>0</v>
      </c>
      <c r="N109" s="25"/>
      <c r="O109" s="25">
        <f t="shared" si="80"/>
        <v>0</v>
      </c>
      <c r="P109" s="25"/>
      <c r="Q109" s="26">
        <f t="shared" si="81"/>
        <v>0</v>
      </c>
      <c r="R109" s="25"/>
      <c r="S109" s="27">
        <f t="shared" si="82"/>
        <v>0</v>
      </c>
    </row>
    <row r="110" spans="1:19">
      <c r="A110" s="28">
        <v>17</v>
      </c>
      <c r="B110" s="25"/>
      <c r="C110" s="25">
        <f t="shared" si="74"/>
        <v>0</v>
      </c>
      <c r="D110" s="25"/>
      <c r="E110" s="25">
        <f t="shared" si="75"/>
        <v>0</v>
      </c>
      <c r="F110" s="25"/>
      <c r="G110" s="25">
        <f t="shared" si="76"/>
        <v>0</v>
      </c>
      <c r="H110" s="25"/>
      <c r="I110" s="25">
        <f t="shared" si="77"/>
        <v>0</v>
      </c>
      <c r="J110" s="25"/>
      <c r="K110" s="25">
        <f t="shared" si="78"/>
        <v>0</v>
      </c>
      <c r="L110" s="25"/>
      <c r="M110" s="25">
        <f t="shared" si="79"/>
        <v>0</v>
      </c>
      <c r="N110" s="25"/>
      <c r="O110" s="25">
        <f t="shared" si="80"/>
        <v>0</v>
      </c>
      <c r="P110" s="25"/>
      <c r="Q110" s="26">
        <f t="shared" si="81"/>
        <v>0</v>
      </c>
      <c r="R110" s="25"/>
      <c r="S110" s="27">
        <f t="shared" si="82"/>
        <v>0</v>
      </c>
    </row>
    <row r="111" spans="1:19">
      <c r="A111" s="28">
        <v>18</v>
      </c>
      <c r="B111" s="25"/>
      <c r="C111" s="25">
        <f t="shared" si="74"/>
        <v>0</v>
      </c>
      <c r="D111" s="25"/>
      <c r="E111" s="25">
        <f t="shared" si="75"/>
        <v>0</v>
      </c>
      <c r="F111" s="25"/>
      <c r="G111" s="25">
        <f t="shared" si="76"/>
        <v>0</v>
      </c>
      <c r="H111" s="25"/>
      <c r="I111" s="25">
        <f t="shared" si="77"/>
        <v>0</v>
      </c>
      <c r="J111" s="25"/>
      <c r="K111" s="25">
        <f t="shared" si="78"/>
        <v>0</v>
      </c>
      <c r="L111" s="25"/>
      <c r="M111" s="25">
        <f t="shared" si="79"/>
        <v>0</v>
      </c>
      <c r="N111" s="25"/>
      <c r="O111" s="25">
        <f t="shared" si="80"/>
        <v>0</v>
      </c>
      <c r="P111" s="25"/>
      <c r="Q111" s="26">
        <f t="shared" si="81"/>
        <v>0</v>
      </c>
      <c r="R111" s="25"/>
      <c r="S111" s="27">
        <f t="shared" si="82"/>
        <v>0</v>
      </c>
    </row>
    <row r="112" spans="1:19">
      <c r="A112" s="28">
        <v>19</v>
      </c>
      <c r="B112" s="25"/>
      <c r="C112" s="25">
        <f t="shared" si="74"/>
        <v>0</v>
      </c>
      <c r="D112" s="25"/>
      <c r="E112" s="25">
        <f t="shared" si="75"/>
        <v>0</v>
      </c>
      <c r="F112" s="25"/>
      <c r="G112" s="25">
        <f t="shared" si="76"/>
        <v>0</v>
      </c>
      <c r="H112" s="25"/>
      <c r="I112" s="25">
        <f t="shared" si="77"/>
        <v>0</v>
      </c>
      <c r="J112" s="25"/>
      <c r="K112" s="25">
        <f t="shared" si="78"/>
        <v>0</v>
      </c>
      <c r="L112" s="25"/>
      <c r="M112" s="25">
        <f t="shared" si="79"/>
        <v>0</v>
      </c>
      <c r="N112" s="25"/>
      <c r="O112" s="25">
        <f t="shared" si="80"/>
        <v>0</v>
      </c>
      <c r="P112" s="25"/>
      <c r="Q112" s="26">
        <f t="shared" si="81"/>
        <v>0</v>
      </c>
      <c r="R112" s="25"/>
      <c r="S112" s="27">
        <f t="shared" si="82"/>
        <v>0</v>
      </c>
    </row>
    <row r="113" spans="1:19">
      <c r="A113" s="28">
        <v>20</v>
      </c>
      <c r="B113" s="25"/>
      <c r="C113" s="25">
        <f t="shared" si="74"/>
        <v>0</v>
      </c>
      <c r="D113" s="25"/>
      <c r="E113" s="25">
        <f t="shared" si="75"/>
        <v>0</v>
      </c>
      <c r="F113" s="25"/>
      <c r="G113" s="25">
        <f t="shared" si="76"/>
        <v>0</v>
      </c>
      <c r="H113" s="25"/>
      <c r="I113" s="25">
        <f t="shared" si="77"/>
        <v>0</v>
      </c>
      <c r="J113" s="25"/>
      <c r="K113" s="25">
        <f t="shared" si="78"/>
        <v>0</v>
      </c>
      <c r="L113" s="25"/>
      <c r="M113" s="25">
        <f t="shared" si="79"/>
        <v>0</v>
      </c>
      <c r="N113" s="25"/>
      <c r="O113" s="25">
        <f t="shared" si="80"/>
        <v>0</v>
      </c>
      <c r="P113" s="25"/>
      <c r="Q113" s="26">
        <f t="shared" si="81"/>
        <v>0</v>
      </c>
      <c r="R113" s="25"/>
      <c r="S113" s="27">
        <f t="shared" si="82"/>
        <v>0</v>
      </c>
    </row>
    <row r="114" spans="1:19">
      <c r="A114" s="28">
        <v>21</v>
      </c>
      <c r="B114" s="25"/>
      <c r="C114" s="25">
        <f t="shared" si="74"/>
        <v>0</v>
      </c>
      <c r="D114" s="25"/>
      <c r="E114" s="25">
        <f t="shared" si="75"/>
        <v>0</v>
      </c>
      <c r="F114" s="25"/>
      <c r="G114" s="25">
        <f t="shared" si="76"/>
        <v>0</v>
      </c>
      <c r="H114" s="25"/>
      <c r="I114" s="25">
        <f t="shared" si="77"/>
        <v>0</v>
      </c>
      <c r="J114" s="25"/>
      <c r="K114" s="25">
        <f t="shared" si="78"/>
        <v>0</v>
      </c>
      <c r="L114" s="25"/>
      <c r="M114" s="25">
        <f t="shared" si="79"/>
        <v>0</v>
      </c>
      <c r="N114" s="25"/>
      <c r="O114" s="25">
        <f t="shared" si="80"/>
        <v>0</v>
      </c>
      <c r="P114" s="25"/>
      <c r="Q114" s="26">
        <f t="shared" si="81"/>
        <v>0</v>
      </c>
      <c r="R114" s="25"/>
      <c r="S114" s="27">
        <f t="shared" si="82"/>
        <v>0</v>
      </c>
    </row>
    <row r="115" spans="1:19">
      <c r="A115" s="28">
        <v>22</v>
      </c>
      <c r="B115" s="25"/>
      <c r="C115" s="25">
        <f t="shared" si="74"/>
        <v>0</v>
      </c>
      <c r="D115" s="25"/>
      <c r="E115" s="25">
        <f t="shared" si="75"/>
        <v>0</v>
      </c>
      <c r="F115" s="25"/>
      <c r="G115" s="25">
        <f t="shared" si="76"/>
        <v>0</v>
      </c>
      <c r="H115" s="25"/>
      <c r="I115" s="25">
        <f t="shared" si="77"/>
        <v>0</v>
      </c>
      <c r="J115" s="25"/>
      <c r="K115" s="25">
        <f t="shared" si="78"/>
        <v>0</v>
      </c>
      <c r="L115" s="25"/>
      <c r="M115" s="25">
        <f t="shared" si="79"/>
        <v>0</v>
      </c>
      <c r="N115" s="25"/>
      <c r="O115" s="25">
        <f t="shared" si="80"/>
        <v>0</v>
      </c>
      <c r="P115" s="25"/>
      <c r="Q115" s="26">
        <f t="shared" si="81"/>
        <v>0</v>
      </c>
      <c r="R115" s="25"/>
      <c r="S115" s="27">
        <f t="shared" si="82"/>
        <v>0</v>
      </c>
    </row>
    <row r="116" spans="1:19">
      <c r="A116" s="28">
        <v>23</v>
      </c>
      <c r="B116" s="25"/>
      <c r="C116" s="25">
        <f t="shared" si="74"/>
        <v>0</v>
      </c>
      <c r="D116" s="25"/>
      <c r="E116" s="25">
        <f t="shared" si="75"/>
        <v>0</v>
      </c>
      <c r="F116" s="25"/>
      <c r="G116" s="25">
        <f t="shared" si="76"/>
        <v>0</v>
      </c>
      <c r="H116" s="25"/>
      <c r="I116" s="25">
        <f t="shared" si="77"/>
        <v>0</v>
      </c>
      <c r="J116" s="25"/>
      <c r="K116" s="25">
        <f t="shared" si="78"/>
        <v>0</v>
      </c>
      <c r="L116" s="25"/>
      <c r="M116" s="25">
        <f t="shared" si="79"/>
        <v>0</v>
      </c>
      <c r="N116" s="25"/>
      <c r="O116" s="25">
        <f t="shared" si="80"/>
        <v>0</v>
      </c>
      <c r="P116" s="25"/>
      <c r="Q116" s="26">
        <f t="shared" si="81"/>
        <v>0</v>
      </c>
      <c r="R116" s="25"/>
      <c r="S116" s="27">
        <f t="shared" si="82"/>
        <v>0</v>
      </c>
    </row>
    <row r="117" spans="1:19">
      <c r="A117" s="28">
        <v>24</v>
      </c>
      <c r="B117" s="25"/>
      <c r="C117" s="25">
        <f t="shared" si="74"/>
        <v>0</v>
      </c>
      <c r="D117" s="25"/>
      <c r="E117" s="25">
        <f t="shared" si="75"/>
        <v>0</v>
      </c>
      <c r="F117" s="25"/>
      <c r="G117" s="25">
        <f t="shared" si="76"/>
        <v>0</v>
      </c>
      <c r="H117" s="25"/>
      <c r="I117" s="25">
        <f t="shared" si="77"/>
        <v>0</v>
      </c>
      <c r="J117" s="25"/>
      <c r="K117" s="25">
        <f t="shared" si="78"/>
        <v>0</v>
      </c>
      <c r="L117" s="25"/>
      <c r="M117" s="25">
        <f t="shared" si="79"/>
        <v>0</v>
      </c>
      <c r="N117" s="25"/>
      <c r="O117" s="25">
        <f t="shared" si="80"/>
        <v>0</v>
      </c>
      <c r="P117" s="25"/>
      <c r="Q117" s="26">
        <f t="shared" si="81"/>
        <v>0</v>
      </c>
      <c r="R117" s="25"/>
      <c r="S117" s="27">
        <f t="shared" si="82"/>
        <v>0</v>
      </c>
    </row>
    <row r="118" spans="1:19">
      <c r="A118" s="28">
        <v>25</v>
      </c>
      <c r="B118" s="25"/>
      <c r="C118" s="25">
        <f t="shared" si="74"/>
        <v>0</v>
      </c>
      <c r="D118" s="25"/>
      <c r="E118" s="25">
        <f t="shared" si="75"/>
        <v>0</v>
      </c>
      <c r="F118" s="25"/>
      <c r="G118" s="25">
        <f t="shared" si="76"/>
        <v>0</v>
      </c>
      <c r="H118" s="25"/>
      <c r="I118" s="25">
        <f t="shared" si="77"/>
        <v>0</v>
      </c>
      <c r="J118" s="25"/>
      <c r="K118" s="25">
        <f t="shared" si="78"/>
        <v>0</v>
      </c>
      <c r="L118" s="25"/>
      <c r="M118" s="25">
        <f t="shared" si="79"/>
        <v>0</v>
      </c>
      <c r="N118" s="25"/>
      <c r="O118" s="25">
        <f t="shared" si="80"/>
        <v>0</v>
      </c>
      <c r="P118" s="25"/>
      <c r="Q118" s="26">
        <f t="shared" si="81"/>
        <v>0</v>
      </c>
      <c r="R118" s="25"/>
      <c r="S118" s="27">
        <f t="shared" si="82"/>
        <v>0</v>
      </c>
    </row>
    <row r="119" spans="1:19">
      <c r="A119" s="28">
        <v>26</v>
      </c>
      <c r="B119" s="25"/>
      <c r="C119" s="25">
        <f t="shared" si="74"/>
        <v>0</v>
      </c>
      <c r="D119" s="25"/>
      <c r="E119" s="25">
        <f t="shared" si="75"/>
        <v>0</v>
      </c>
      <c r="F119" s="25"/>
      <c r="G119" s="25">
        <f t="shared" si="76"/>
        <v>0</v>
      </c>
      <c r="H119" s="25"/>
      <c r="I119" s="25">
        <f t="shared" si="77"/>
        <v>0</v>
      </c>
      <c r="J119" s="25"/>
      <c r="K119" s="25">
        <f t="shared" si="78"/>
        <v>0</v>
      </c>
      <c r="L119" s="25"/>
      <c r="M119" s="25">
        <f t="shared" si="79"/>
        <v>0</v>
      </c>
      <c r="N119" s="25"/>
      <c r="O119" s="25">
        <f t="shared" si="80"/>
        <v>0</v>
      </c>
      <c r="P119" s="25"/>
      <c r="Q119" s="26">
        <f t="shared" si="81"/>
        <v>0</v>
      </c>
      <c r="R119" s="25"/>
      <c r="S119" s="27">
        <f t="shared" si="82"/>
        <v>0</v>
      </c>
    </row>
    <row r="120" spans="1:19">
      <c r="A120" s="28">
        <v>27</v>
      </c>
      <c r="B120" s="25"/>
      <c r="C120" s="25">
        <f t="shared" si="74"/>
        <v>0</v>
      </c>
      <c r="D120" s="25"/>
      <c r="E120" s="25">
        <f t="shared" si="75"/>
        <v>0</v>
      </c>
      <c r="F120" s="25"/>
      <c r="G120" s="25">
        <f t="shared" si="76"/>
        <v>0</v>
      </c>
      <c r="H120" s="25"/>
      <c r="I120" s="25">
        <f t="shared" si="77"/>
        <v>0</v>
      </c>
      <c r="J120" s="25"/>
      <c r="K120" s="25">
        <f t="shared" si="78"/>
        <v>0</v>
      </c>
      <c r="L120" s="25"/>
      <c r="M120" s="25">
        <f t="shared" si="79"/>
        <v>0</v>
      </c>
      <c r="N120" s="25"/>
      <c r="O120" s="25">
        <f t="shared" si="80"/>
        <v>0</v>
      </c>
      <c r="P120" s="25"/>
      <c r="Q120" s="26">
        <f t="shared" si="81"/>
        <v>0</v>
      </c>
      <c r="R120" s="25"/>
      <c r="S120" s="27">
        <f t="shared" si="82"/>
        <v>0</v>
      </c>
    </row>
    <row r="121" spans="1:19">
      <c r="A121" s="28">
        <v>28</v>
      </c>
      <c r="B121" s="25"/>
      <c r="C121" s="25">
        <f t="shared" si="74"/>
        <v>0</v>
      </c>
      <c r="D121" s="25"/>
      <c r="E121" s="25">
        <f t="shared" si="75"/>
        <v>0</v>
      </c>
      <c r="F121" s="25"/>
      <c r="G121" s="25">
        <f t="shared" si="76"/>
        <v>0</v>
      </c>
      <c r="H121" s="25"/>
      <c r="I121" s="25">
        <f t="shared" si="77"/>
        <v>0</v>
      </c>
      <c r="J121" s="25"/>
      <c r="K121" s="25">
        <f t="shared" si="78"/>
        <v>0</v>
      </c>
      <c r="L121" s="25"/>
      <c r="M121" s="25">
        <f t="shared" si="79"/>
        <v>0</v>
      </c>
      <c r="N121" s="25"/>
      <c r="O121" s="25">
        <f t="shared" si="80"/>
        <v>0</v>
      </c>
      <c r="P121" s="25"/>
      <c r="Q121" s="26">
        <f t="shared" si="81"/>
        <v>0</v>
      </c>
      <c r="R121" s="25"/>
      <c r="S121" s="27">
        <f t="shared" si="82"/>
        <v>0</v>
      </c>
    </row>
    <row r="122" spans="1:19">
      <c r="A122" s="28">
        <v>29</v>
      </c>
      <c r="B122" s="25"/>
      <c r="C122" s="25">
        <f t="shared" si="74"/>
        <v>0</v>
      </c>
      <c r="D122" s="25"/>
      <c r="E122" s="25">
        <f t="shared" si="75"/>
        <v>0</v>
      </c>
      <c r="F122" s="25"/>
      <c r="G122" s="25">
        <f t="shared" si="76"/>
        <v>0</v>
      </c>
      <c r="H122" s="25"/>
      <c r="I122" s="25">
        <f t="shared" si="77"/>
        <v>0</v>
      </c>
      <c r="J122" s="25"/>
      <c r="K122" s="25">
        <f t="shared" si="78"/>
        <v>0</v>
      </c>
      <c r="L122" s="25"/>
      <c r="M122" s="25">
        <f t="shared" si="79"/>
        <v>0</v>
      </c>
      <c r="N122" s="25"/>
      <c r="O122" s="25">
        <f t="shared" si="80"/>
        <v>0</v>
      </c>
      <c r="P122" s="25"/>
      <c r="Q122" s="26">
        <f t="shared" si="81"/>
        <v>0</v>
      </c>
      <c r="R122" s="25"/>
      <c r="S122" s="27">
        <f t="shared" si="82"/>
        <v>0</v>
      </c>
    </row>
    <row r="123" spans="1:19">
      <c r="A123" s="28">
        <v>30</v>
      </c>
      <c r="B123" s="25"/>
      <c r="C123" s="25">
        <f t="shared" si="74"/>
        <v>0</v>
      </c>
      <c r="D123" s="25"/>
      <c r="E123" s="25">
        <f t="shared" si="75"/>
        <v>0</v>
      </c>
      <c r="F123" s="25"/>
      <c r="G123" s="25">
        <f t="shared" si="76"/>
        <v>0</v>
      </c>
      <c r="H123" s="25"/>
      <c r="I123" s="25">
        <f t="shared" si="77"/>
        <v>0</v>
      </c>
      <c r="J123" s="25"/>
      <c r="K123" s="25">
        <f t="shared" si="78"/>
        <v>0</v>
      </c>
      <c r="L123" s="25"/>
      <c r="M123" s="25">
        <f t="shared" si="79"/>
        <v>0</v>
      </c>
      <c r="N123" s="25"/>
      <c r="O123" s="25">
        <f t="shared" si="80"/>
        <v>0</v>
      </c>
      <c r="P123" s="25"/>
      <c r="Q123" s="26">
        <f t="shared" si="81"/>
        <v>0</v>
      </c>
      <c r="R123" s="25"/>
      <c r="S123" s="27">
        <f t="shared" si="82"/>
        <v>0</v>
      </c>
    </row>
    <row r="124" spans="1:19" ht="34.5" customHeight="1">
      <c r="A124" s="149"/>
      <c r="B124" s="29" t="s">
        <v>11</v>
      </c>
      <c r="C124" s="30">
        <f>SUM(C94:C123)</f>
        <v>1860</v>
      </c>
      <c r="D124" s="31" t="s">
        <v>11</v>
      </c>
      <c r="E124" s="30">
        <f>SUM(E94:E123)</f>
        <v>1260</v>
      </c>
      <c r="F124" s="31" t="s">
        <v>11</v>
      </c>
      <c r="G124" s="30">
        <f>SUM(G94:G123)</f>
        <v>1980</v>
      </c>
      <c r="H124" s="31" t="s">
        <v>11</v>
      </c>
      <c r="I124" s="30">
        <f>SUM(I94:I123)</f>
        <v>0</v>
      </c>
      <c r="J124" s="31" t="s">
        <v>11</v>
      </c>
      <c r="K124" s="30">
        <f>SUM(K94:K123)</f>
        <v>1360</v>
      </c>
      <c r="L124" s="31" t="s">
        <v>11</v>
      </c>
      <c r="M124" s="30">
        <f>SUM(M94:M123)</f>
        <v>4780</v>
      </c>
      <c r="N124" s="31" t="s">
        <v>11</v>
      </c>
      <c r="O124" s="30">
        <f>SUM(O94:O123)</f>
        <v>1960</v>
      </c>
      <c r="P124" s="31" t="s">
        <v>11</v>
      </c>
      <c r="Q124" s="30">
        <f>SUM(Q94:Q123)</f>
        <v>1700</v>
      </c>
      <c r="R124" s="29" t="s">
        <v>11</v>
      </c>
      <c r="S124" s="27">
        <f>SUM(S94:S123)</f>
        <v>2420</v>
      </c>
    </row>
    <row r="125" spans="1:19" ht="40.5" customHeight="1" thickBot="1">
      <c r="A125" s="150"/>
      <c r="B125" s="31" t="s">
        <v>14</v>
      </c>
      <c r="C125" s="30">
        <f>IF(C124=0,9,RANK(C124,$C$124:$S$124,0))</f>
        <v>5</v>
      </c>
      <c r="D125" s="31" t="s">
        <v>14</v>
      </c>
      <c r="E125" s="30">
        <f t="shared" ref="E125" si="83">IF(E124=0,9,RANK(E124,$C$124:$S$124,0))</f>
        <v>8</v>
      </c>
      <c r="F125" s="31" t="s">
        <v>14</v>
      </c>
      <c r="G125" s="30">
        <f t="shared" ref="G125" si="84">IF(G124=0,9,RANK(G124,$C$124:$S$124,0))</f>
        <v>3</v>
      </c>
      <c r="H125" s="31" t="s">
        <v>14</v>
      </c>
      <c r="I125" s="30">
        <f t="shared" ref="I125" si="85">IF(I124=0,9,RANK(I124,$C$124:$S$124,0))</f>
        <v>9</v>
      </c>
      <c r="J125" s="31" t="s">
        <v>14</v>
      </c>
      <c r="K125" s="30">
        <f t="shared" ref="K125" si="86">IF(K124=0,9,RANK(K124,$C$124:$S$124,0))</f>
        <v>7</v>
      </c>
      <c r="L125" s="31" t="s">
        <v>14</v>
      </c>
      <c r="M125" s="30">
        <f t="shared" ref="M125" si="87">IF(M124=0,9,RANK(M124,$C$124:$S$124,0))</f>
        <v>1</v>
      </c>
      <c r="N125" s="31" t="s">
        <v>14</v>
      </c>
      <c r="O125" s="30">
        <f t="shared" ref="O125" si="88">IF(O124=0,9,RANK(O124,$C$124:$S$124,0))</f>
        <v>4</v>
      </c>
      <c r="P125" s="31" t="s">
        <v>14</v>
      </c>
      <c r="Q125" s="30">
        <f t="shared" ref="Q125" si="89">IF(Q124=0,9,RANK(Q124,$C$124:$S$124,0))</f>
        <v>6</v>
      </c>
      <c r="R125" s="29" t="s">
        <v>14</v>
      </c>
      <c r="S125" s="27">
        <f t="shared" ref="S125" si="90">IF(S124=0,9,RANK(S124,$C$124:$S$124,0))</f>
        <v>2</v>
      </c>
    </row>
    <row r="126" spans="1:19">
      <c r="A126" s="32"/>
      <c r="B126" s="141" t="s">
        <v>29</v>
      </c>
      <c r="C126" s="137">
        <f>COUNT(B94:B123)</f>
        <v>3</v>
      </c>
      <c r="D126" s="141" t="s">
        <v>29</v>
      </c>
      <c r="E126" s="137">
        <f t="shared" ref="E126" si="91">COUNT(D94:D123)</f>
        <v>2</v>
      </c>
      <c r="F126" s="141" t="s">
        <v>29</v>
      </c>
      <c r="G126" s="137">
        <f t="shared" ref="G126" si="92">COUNT(F94:F123)</f>
        <v>3</v>
      </c>
      <c r="H126" s="141" t="s">
        <v>29</v>
      </c>
      <c r="I126" s="137">
        <f t="shared" ref="I126" si="93">COUNT(H94:H123)</f>
        <v>0</v>
      </c>
      <c r="J126" s="141" t="s">
        <v>29</v>
      </c>
      <c r="K126" s="137">
        <f t="shared" ref="K126" si="94">COUNT(J94:J123)</f>
        <v>2</v>
      </c>
      <c r="L126" s="141" t="s">
        <v>29</v>
      </c>
      <c r="M126" s="137">
        <f t="shared" ref="M126" si="95">COUNT(L94:L123)</f>
        <v>7</v>
      </c>
      <c r="N126" s="141" t="s">
        <v>29</v>
      </c>
      <c r="O126" s="137">
        <f t="shared" ref="O126" si="96">COUNT(N94:N123)</f>
        <v>3</v>
      </c>
      <c r="P126" s="141" t="s">
        <v>29</v>
      </c>
      <c r="Q126" s="148">
        <f t="shared" ref="Q126" si="97">COUNT(P94:P123)</f>
        <v>3</v>
      </c>
      <c r="R126" s="141" t="s">
        <v>29</v>
      </c>
      <c r="S126" s="138">
        <f t="shared" ref="S126" si="98">COUNT(R94:R123)</f>
        <v>4</v>
      </c>
    </row>
    <row r="127" spans="1:19">
      <c r="A127" s="32"/>
      <c r="B127" s="141"/>
      <c r="C127" s="137"/>
      <c r="D127" s="141"/>
      <c r="E127" s="137"/>
      <c r="F127" s="141"/>
      <c r="G127" s="137"/>
      <c r="H127" s="141"/>
      <c r="I127" s="137"/>
      <c r="J127" s="141"/>
      <c r="K127" s="137"/>
      <c r="L127" s="141"/>
      <c r="M127" s="137"/>
      <c r="N127" s="141"/>
      <c r="O127" s="137"/>
      <c r="P127" s="141"/>
      <c r="Q127" s="148"/>
      <c r="R127" s="141"/>
      <c r="S127" s="138"/>
    </row>
    <row r="128" spans="1:19">
      <c r="A128" s="32"/>
      <c r="B128" s="141"/>
      <c r="C128" s="137"/>
      <c r="D128" s="141"/>
      <c r="E128" s="137"/>
      <c r="F128" s="141"/>
      <c r="G128" s="137"/>
      <c r="H128" s="141"/>
      <c r="I128" s="137"/>
      <c r="J128" s="141"/>
      <c r="K128" s="137"/>
      <c r="L128" s="141"/>
      <c r="M128" s="137"/>
      <c r="N128" s="141"/>
      <c r="O128" s="137"/>
      <c r="P128" s="141"/>
      <c r="Q128" s="148"/>
      <c r="R128" s="141"/>
      <c r="S128" s="138"/>
    </row>
    <row r="129" spans="1:19" ht="44.25" customHeight="1" thickBot="1">
      <c r="A129" s="33"/>
      <c r="B129" s="34" t="s">
        <v>30</v>
      </c>
      <c r="C129" s="34">
        <f>MAX(B94:B123)</f>
        <v>29</v>
      </c>
      <c r="D129" s="34" t="s">
        <v>30</v>
      </c>
      <c r="E129" s="34">
        <f t="shared" ref="E129" si="99">MAX(D94:D123)</f>
        <v>28</v>
      </c>
      <c r="F129" s="34" t="s">
        <v>30</v>
      </c>
      <c r="G129" s="34">
        <f t="shared" ref="G129" si="100">MAX(F94:F123)</f>
        <v>33</v>
      </c>
      <c r="H129" s="34" t="s">
        <v>30</v>
      </c>
      <c r="I129" s="34">
        <f t="shared" ref="I129" si="101">MAX(H94:H123)</f>
        <v>0</v>
      </c>
      <c r="J129" s="34" t="s">
        <v>30</v>
      </c>
      <c r="K129" s="34">
        <f t="shared" ref="K129" si="102">MAX(J94:J123)</f>
        <v>31</v>
      </c>
      <c r="L129" s="34" t="s">
        <v>30</v>
      </c>
      <c r="M129" s="34">
        <f t="shared" ref="M129" si="103">MAX(L94:L123)</f>
        <v>36</v>
      </c>
      <c r="N129" s="34" t="s">
        <v>30</v>
      </c>
      <c r="O129" s="34">
        <f t="shared" ref="O129" si="104">MAX(N94:N123)</f>
        <v>28</v>
      </c>
      <c r="P129" s="34" t="s">
        <v>30</v>
      </c>
      <c r="Q129" s="72">
        <f t="shared" ref="Q129" si="105">MAX(P94:P123)</f>
        <v>26</v>
      </c>
      <c r="R129" s="34" t="s">
        <v>30</v>
      </c>
      <c r="S129" s="73">
        <f t="shared" ref="S129" si="106">MAX(R94:R123)</f>
        <v>28</v>
      </c>
    </row>
  </sheetData>
  <mergeCells count="117">
    <mergeCell ref="A3:A5"/>
    <mergeCell ref="H3:I3"/>
    <mergeCell ref="J3:K3"/>
    <mergeCell ref="L3:M3"/>
    <mergeCell ref="N3:O3"/>
    <mergeCell ref="P3:Q3"/>
    <mergeCell ref="B3:C3"/>
    <mergeCell ref="D3:E3"/>
    <mergeCell ref="F3:G3"/>
    <mergeCell ref="B38:B40"/>
    <mergeCell ref="C38:C40"/>
    <mergeCell ref="D38:D40"/>
    <mergeCell ref="E38:E40"/>
    <mergeCell ref="F38:F40"/>
    <mergeCell ref="G38:G40"/>
    <mergeCell ref="N4:O4"/>
    <mergeCell ref="P4:Q4"/>
    <mergeCell ref="B4:C4"/>
    <mergeCell ref="D4:E4"/>
    <mergeCell ref="F4:G4"/>
    <mergeCell ref="H4:I4"/>
    <mergeCell ref="J4:K4"/>
    <mergeCell ref="L4:M4"/>
    <mergeCell ref="N38:N40"/>
    <mergeCell ref="O38:O40"/>
    <mergeCell ref="P38:P40"/>
    <mergeCell ref="Q38:Q40"/>
    <mergeCell ref="H38:H40"/>
    <mergeCell ref="I38:I40"/>
    <mergeCell ref="J38:J40"/>
    <mergeCell ref="K38:K40"/>
    <mergeCell ref="L38:L40"/>
    <mergeCell ref="M38:M40"/>
    <mergeCell ref="O83:O85"/>
    <mergeCell ref="P83:P85"/>
    <mergeCell ref="Q83:Q85"/>
    <mergeCell ref="A48:A50"/>
    <mergeCell ref="B48:C48"/>
    <mergeCell ref="D48:E48"/>
    <mergeCell ref="F48:G48"/>
    <mergeCell ref="H48:I48"/>
    <mergeCell ref="J48:K48"/>
    <mergeCell ref="L48:M48"/>
    <mergeCell ref="N48:O48"/>
    <mergeCell ref="P48:Q48"/>
    <mergeCell ref="B49:C49"/>
    <mergeCell ref="D49:E49"/>
    <mergeCell ref="F49:G49"/>
    <mergeCell ref="H49:I49"/>
    <mergeCell ref="J49:K49"/>
    <mergeCell ref="L49:M49"/>
    <mergeCell ref="N49:O49"/>
    <mergeCell ref="P49:Q49"/>
    <mergeCell ref="I126:I128"/>
    <mergeCell ref="A91:A93"/>
    <mergeCell ref="B91:C91"/>
    <mergeCell ref="D91:E91"/>
    <mergeCell ref="F91:G91"/>
    <mergeCell ref="H91:I91"/>
    <mergeCell ref="J91:K91"/>
    <mergeCell ref="L91:M91"/>
    <mergeCell ref="N91:O91"/>
    <mergeCell ref="B92:C92"/>
    <mergeCell ref="D92:E92"/>
    <mergeCell ref="F92:G92"/>
    <mergeCell ref="H92:I92"/>
    <mergeCell ref="J92:K92"/>
    <mergeCell ref="L92:M92"/>
    <mergeCell ref="N92:O92"/>
    <mergeCell ref="A1:S2"/>
    <mergeCell ref="R48:S48"/>
    <mergeCell ref="R49:S49"/>
    <mergeCell ref="R83:R85"/>
    <mergeCell ref="S83:S85"/>
    <mergeCell ref="A46:S47"/>
    <mergeCell ref="A36:A37"/>
    <mergeCell ref="A81:A82"/>
    <mergeCell ref="A124:A125"/>
    <mergeCell ref="P91:Q91"/>
    <mergeCell ref="P92:Q92"/>
    <mergeCell ref="B83:B85"/>
    <mergeCell ref="C83:C85"/>
    <mergeCell ref="D83:D85"/>
    <mergeCell ref="E83:E85"/>
    <mergeCell ref="F83:F85"/>
    <mergeCell ref="G83:G85"/>
    <mergeCell ref="H83:H85"/>
    <mergeCell ref="I83:I85"/>
    <mergeCell ref="J83:J85"/>
    <mergeCell ref="K83:K85"/>
    <mergeCell ref="L83:L85"/>
    <mergeCell ref="M83:M85"/>
    <mergeCell ref="N83:N85"/>
    <mergeCell ref="R91:S91"/>
    <mergeCell ref="R92:S92"/>
    <mergeCell ref="R126:R128"/>
    <mergeCell ref="S126:S128"/>
    <mergeCell ref="A89:S90"/>
    <mergeCell ref="R3:S3"/>
    <mergeCell ref="R4:S4"/>
    <mergeCell ref="R38:R40"/>
    <mergeCell ref="S38:S40"/>
    <mergeCell ref="Q126:Q128"/>
    <mergeCell ref="J126:J128"/>
    <mergeCell ref="K126:K128"/>
    <mergeCell ref="L126:L128"/>
    <mergeCell ref="M126:M128"/>
    <mergeCell ref="N126:N128"/>
    <mergeCell ref="O126:O128"/>
    <mergeCell ref="P126:P128"/>
    <mergeCell ref="B126:B128"/>
    <mergeCell ref="C126:C128"/>
    <mergeCell ref="D126:D128"/>
    <mergeCell ref="E126:E128"/>
    <mergeCell ref="F126:F128"/>
    <mergeCell ref="G126:G128"/>
    <mergeCell ref="H126:H128"/>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dimension ref="A1:S130"/>
  <sheetViews>
    <sheetView tabSelected="1" zoomScale="80" zoomScaleNormal="80" workbookViewId="0">
      <selection activeCell="N9" sqref="N9"/>
    </sheetView>
  </sheetViews>
  <sheetFormatPr defaultRowHeight="15"/>
  <cols>
    <col min="1" max="19" width="11.7109375" customWidth="1"/>
  </cols>
  <sheetData>
    <row r="1" spans="1:19" ht="15" customHeight="1">
      <c r="A1" s="153" t="s">
        <v>18</v>
      </c>
      <c r="B1" s="154"/>
      <c r="C1" s="154"/>
      <c r="D1" s="154"/>
      <c r="E1" s="154"/>
      <c r="F1" s="154"/>
      <c r="G1" s="154"/>
      <c r="H1" s="154"/>
      <c r="I1" s="154"/>
      <c r="J1" s="154"/>
      <c r="K1" s="154"/>
      <c r="L1" s="154"/>
      <c r="M1" s="154"/>
      <c r="N1" s="154"/>
      <c r="O1" s="154"/>
      <c r="P1" s="154"/>
      <c r="Q1" s="154"/>
      <c r="R1" s="154"/>
      <c r="S1" s="155"/>
    </row>
    <row r="2" spans="1:19" ht="15" customHeight="1">
      <c r="A2" s="156"/>
      <c r="B2" s="157"/>
      <c r="C2" s="157"/>
      <c r="D2" s="157"/>
      <c r="E2" s="157"/>
      <c r="F2" s="157"/>
      <c r="G2" s="157"/>
      <c r="H2" s="157"/>
      <c r="I2" s="157"/>
      <c r="J2" s="157"/>
      <c r="K2" s="157"/>
      <c r="L2" s="157"/>
      <c r="M2" s="157"/>
      <c r="N2" s="157"/>
      <c r="O2" s="157"/>
      <c r="P2" s="157"/>
      <c r="Q2" s="157"/>
      <c r="R2" s="157"/>
      <c r="S2" s="158"/>
    </row>
    <row r="3" spans="1:19">
      <c r="A3" s="152" t="s">
        <v>15</v>
      </c>
      <c r="B3" s="137" t="s">
        <v>10</v>
      </c>
      <c r="C3" s="137"/>
      <c r="D3" s="137" t="s">
        <v>10</v>
      </c>
      <c r="E3" s="137"/>
      <c r="F3" s="137" t="s">
        <v>10</v>
      </c>
      <c r="G3" s="137"/>
      <c r="H3" s="137" t="s">
        <v>10</v>
      </c>
      <c r="I3" s="137"/>
      <c r="J3" s="137" t="s">
        <v>10</v>
      </c>
      <c r="K3" s="137"/>
      <c r="L3" s="137" t="s">
        <v>10</v>
      </c>
      <c r="M3" s="137"/>
      <c r="N3" s="137" t="s">
        <v>10</v>
      </c>
      <c r="O3" s="137"/>
      <c r="P3" s="137" t="s">
        <v>10</v>
      </c>
      <c r="Q3" s="148"/>
      <c r="R3" s="137" t="s">
        <v>10</v>
      </c>
      <c r="S3" s="138"/>
    </row>
    <row r="4" spans="1:19" ht="18.75">
      <c r="A4" s="152"/>
      <c r="B4" s="139" t="str">
        <f>TABELA!H10</f>
        <v>BOGDAN GOVEDARICA</v>
      </c>
      <c r="C4" s="139"/>
      <c r="D4" s="139" t="str">
        <f>TABELA!H11</f>
        <v>MILJAN ANĐIĆ</v>
      </c>
      <c r="E4" s="139"/>
      <c r="F4" s="139" t="str">
        <f>TABELA!H12</f>
        <v>RADULE MIĆOVIĆ</v>
      </c>
      <c r="G4" s="139"/>
      <c r="H4" s="139" t="str">
        <f>TABELA!H13</f>
        <v>OMAR BAŠIĆ</v>
      </c>
      <c r="I4" s="139"/>
      <c r="J4" s="139" t="str">
        <f>TABELA!H14</f>
        <v>BALŠA FUŠTIĆ</v>
      </c>
      <c r="K4" s="139"/>
      <c r="L4" s="139" t="str">
        <f>TABELA!H15</f>
        <v>GORAN OBRENOVIĆ</v>
      </c>
      <c r="M4" s="139"/>
      <c r="N4" s="139" t="str">
        <f>TABELA!H16</f>
        <v>PETAR OBRADOVIĆ</v>
      </c>
      <c r="O4" s="139"/>
      <c r="P4" s="139" t="str">
        <f>TABELA!H17</f>
        <v>MEHMED DŽIDIĆ</v>
      </c>
      <c r="Q4" s="151"/>
      <c r="R4" s="139" t="str">
        <f>TABELA!H18</f>
        <v>ARSO JEREMIĆ</v>
      </c>
      <c r="S4" s="140"/>
    </row>
    <row r="5" spans="1:19">
      <c r="A5" s="152"/>
      <c r="B5" s="25" t="s">
        <v>12</v>
      </c>
      <c r="C5" s="25" t="s">
        <v>13</v>
      </c>
      <c r="D5" s="25" t="s">
        <v>12</v>
      </c>
      <c r="E5" s="25" t="s">
        <v>13</v>
      </c>
      <c r="F5" s="25" t="s">
        <v>12</v>
      </c>
      <c r="G5" s="25" t="s">
        <v>13</v>
      </c>
      <c r="H5" s="25" t="s">
        <v>12</v>
      </c>
      <c r="I5" s="25" t="s">
        <v>13</v>
      </c>
      <c r="J5" s="25" t="s">
        <v>12</v>
      </c>
      <c r="K5" s="25" t="s">
        <v>13</v>
      </c>
      <c r="L5" s="25" t="s">
        <v>12</v>
      </c>
      <c r="M5" s="25" t="s">
        <v>13</v>
      </c>
      <c r="N5" s="25" t="s">
        <v>12</v>
      </c>
      <c r="O5" s="25" t="s">
        <v>13</v>
      </c>
      <c r="P5" s="25" t="s">
        <v>12</v>
      </c>
      <c r="Q5" s="26" t="s">
        <v>13</v>
      </c>
      <c r="R5" s="25" t="s">
        <v>12</v>
      </c>
      <c r="S5" s="27" t="s">
        <v>13</v>
      </c>
    </row>
    <row r="6" spans="1:19">
      <c r="A6" s="28">
        <v>1</v>
      </c>
      <c r="B6" s="25"/>
      <c r="C6" s="25">
        <f>IF(B6,B6*20+100,0)</f>
        <v>0</v>
      </c>
      <c r="D6" s="25"/>
      <c r="E6" s="25">
        <f>IF(D6,D6*20+100,0)</f>
        <v>0</v>
      </c>
      <c r="F6" s="25">
        <v>35</v>
      </c>
      <c r="G6" s="25">
        <f>IF(F6,F6*20+100,0)</f>
        <v>800</v>
      </c>
      <c r="H6" s="25">
        <v>31</v>
      </c>
      <c r="I6" s="25">
        <f>IF(H6,H6*20+100,0)</f>
        <v>720</v>
      </c>
      <c r="J6" s="25">
        <v>27</v>
      </c>
      <c r="K6" s="25">
        <f t="shared" ref="K6:K35" si="0">IF(J6,J6*20+100,0)</f>
        <v>640</v>
      </c>
      <c r="L6" s="25">
        <v>21</v>
      </c>
      <c r="M6" s="25">
        <f>IF(L6,L6*20+100,0)</f>
        <v>520</v>
      </c>
      <c r="N6" s="25">
        <v>22</v>
      </c>
      <c r="O6" s="25">
        <f>IF(N6,N6*20+100,0)</f>
        <v>540</v>
      </c>
      <c r="P6" s="25">
        <v>31</v>
      </c>
      <c r="Q6" s="26">
        <f>IF(P6,P6*20+100,0)</f>
        <v>720</v>
      </c>
      <c r="R6" s="25">
        <v>27</v>
      </c>
      <c r="S6" s="27">
        <f>IF(R6,R6*20+100,0)</f>
        <v>640</v>
      </c>
    </row>
    <row r="7" spans="1:19">
      <c r="A7" s="28">
        <v>2</v>
      </c>
      <c r="B7" s="25"/>
      <c r="C7" s="25">
        <f t="shared" ref="C7:C35" si="1">IF(B7,B7*20+100,0)</f>
        <v>0</v>
      </c>
      <c r="D7" s="25"/>
      <c r="E7" s="25">
        <f t="shared" ref="E7:E35" si="2">IF(D7,D7*20+100,0)</f>
        <v>0</v>
      </c>
      <c r="F7" s="25">
        <v>28</v>
      </c>
      <c r="G7" s="25">
        <f t="shared" ref="G7:G35" si="3">IF(F7,F7*20+100,0)</f>
        <v>660</v>
      </c>
      <c r="H7" s="25"/>
      <c r="I7" s="25">
        <f t="shared" ref="I7:I35" si="4">IF(H7,H7*20+100,0)</f>
        <v>0</v>
      </c>
      <c r="J7" s="25"/>
      <c r="K7" s="25">
        <f t="shared" si="0"/>
        <v>0</v>
      </c>
      <c r="L7" s="25"/>
      <c r="M7" s="25">
        <f t="shared" ref="M7:M35" si="5">IF(L7,L7*20+100,0)</f>
        <v>0</v>
      </c>
      <c r="N7" s="25"/>
      <c r="O7" s="25">
        <f t="shared" ref="O7:O35" si="6">IF(N7,N7*20+100,0)</f>
        <v>0</v>
      </c>
      <c r="P7" s="25"/>
      <c r="Q7" s="26">
        <f t="shared" ref="Q7:Q35" si="7">IF(P7,P7*20+100,0)</f>
        <v>0</v>
      </c>
      <c r="R7" s="25">
        <v>21</v>
      </c>
      <c r="S7" s="27">
        <f t="shared" ref="S7:S35" si="8">IF(R7,R7*20+100,0)</f>
        <v>520</v>
      </c>
    </row>
    <row r="8" spans="1:19">
      <c r="A8" s="28">
        <v>3</v>
      </c>
      <c r="B8" s="25"/>
      <c r="C8" s="25">
        <f t="shared" si="1"/>
        <v>0</v>
      </c>
      <c r="D8" s="25"/>
      <c r="E8" s="25">
        <f t="shared" si="2"/>
        <v>0</v>
      </c>
      <c r="F8" s="25">
        <v>26</v>
      </c>
      <c r="G8" s="25">
        <f t="shared" si="3"/>
        <v>620</v>
      </c>
      <c r="H8" s="25"/>
      <c r="I8" s="25">
        <f t="shared" si="4"/>
        <v>0</v>
      </c>
      <c r="J8" s="25"/>
      <c r="K8" s="25">
        <f t="shared" si="0"/>
        <v>0</v>
      </c>
      <c r="L8" s="25"/>
      <c r="M8" s="25">
        <f t="shared" si="5"/>
        <v>0</v>
      </c>
      <c r="N8" s="25"/>
      <c r="O8" s="25">
        <f t="shared" si="6"/>
        <v>0</v>
      </c>
      <c r="P8" s="25"/>
      <c r="Q8" s="26">
        <f t="shared" si="7"/>
        <v>0</v>
      </c>
      <c r="R8" s="25">
        <v>28</v>
      </c>
      <c r="S8" s="27">
        <f t="shared" si="8"/>
        <v>660</v>
      </c>
    </row>
    <row r="9" spans="1:19">
      <c r="A9" s="28">
        <v>4</v>
      </c>
      <c r="B9" s="25"/>
      <c r="C9" s="25">
        <f t="shared" si="1"/>
        <v>0</v>
      </c>
      <c r="D9" s="25"/>
      <c r="E9" s="25">
        <f t="shared" si="2"/>
        <v>0</v>
      </c>
      <c r="F9" s="25">
        <v>25</v>
      </c>
      <c r="G9" s="25">
        <f t="shared" si="3"/>
        <v>600</v>
      </c>
      <c r="H9" s="25"/>
      <c r="I9" s="25">
        <f t="shared" si="4"/>
        <v>0</v>
      </c>
      <c r="J9" s="25"/>
      <c r="K9" s="25">
        <f t="shared" si="0"/>
        <v>0</v>
      </c>
      <c r="L9" s="25"/>
      <c r="M9" s="25">
        <f t="shared" si="5"/>
        <v>0</v>
      </c>
      <c r="N9" s="25"/>
      <c r="O9" s="25">
        <f t="shared" si="6"/>
        <v>0</v>
      </c>
      <c r="P9" s="25"/>
      <c r="Q9" s="26">
        <f t="shared" si="7"/>
        <v>0</v>
      </c>
      <c r="R9" s="25">
        <v>28</v>
      </c>
      <c r="S9" s="27">
        <f t="shared" si="8"/>
        <v>660</v>
      </c>
    </row>
    <row r="10" spans="1:19">
      <c r="A10" s="28">
        <v>5</v>
      </c>
      <c r="B10" s="25"/>
      <c r="C10" s="25">
        <f t="shared" si="1"/>
        <v>0</v>
      </c>
      <c r="D10" s="25"/>
      <c r="E10" s="25">
        <f t="shared" si="2"/>
        <v>0</v>
      </c>
      <c r="F10" s="25">
        <v>25</v>
      </c>
      <c r="G10" s="25">
        <f t="shared" si="3"/>
        <v>600</v>
      </c>
      <c r="H10" s="25"/>
      <c r="I10" s="25">
        <f t="shared" si="4"/>
        <v>0</v>
      </c>
      <c r="J10" s="25"/>
      <c r="K10" s="25">
        <f t="shared" si="0"/>
        <v>0</v>
      </c>
      <c r="L10" s="25"/>
      <c r="M10" s="25">
        <f t="shared" si="5"/>
        <v>0</v>
      </c>
      <c r="N10" s="25"/>
      <c r="O10" s="25">
        <f t="shared" si="6"/>
        <v>0</v>
      </c>
      <c r="P10" s="25"/>
      <c r="Q10" s="26">
        <f t="shared" si="7"/>
        <v>0</v>
      </c>
      <c r="R10" s="25"/>
      <c r="S10" s="27">
        <f t="shared" si="8"/>
        <v>0</v>
      </c>
    </row>
    <row r="11" spans="1:19">
      <c r="A11" s="28">
        <v>6</v>
      </c>
      <c r="B11" s="25"/>
      <c r="C11" s="25">
        <f t="shared" si="1"/>
        <v>0</v>
      </c>
      <c r="D11" s="25"/>
      <c r="E11" s="25">
        <f t="shared" si="2"/>
        <v>0</v>
      </c>
      <c r="F11" s="25"/>
      <c r="G11" s="25">
        <f t="shared" si="3"/>
        <v>0</v>
      </c>
      <c r="H11" s="25"/>
      <c r="I11" s="25">
        <f t="shared" si="4"/>
        <v>0</v>
      </c>
      <c r="J11" s="25"/>
      <c r="K11" s="25">
        <f t="shared" si="0"/>
        <v>0</v>
      </c>
      <c r="L11" s="25"/>
      <c r="M11" s="25">
        <f t="shared" si="5"/>
        <v>0</v>
      </c>
      <c r="N11" s="25"/>
      <c r="O11" s="25">
        <f t="shared" si="6"/>
        <v>0</v>
      </c>
      <c r="P11" s="25"/>
      <c r="Q11" s="26">
        <f t="shared" si="7"/>
        <v>0</v>
      </c>
      <c r="R11" s="25"/>
      <c r="S11" s="27">
        <f t="shared" si="8"/>
        <v>0</v>
      </c>
    </row>
    <row r="12" spans="1:19">
      <c r="A12" s="28">
        <v>7</v>
      </c>
      <c r="B12" s="25"/>
      <c r="C12" s="25">
        <f t="shared" si="1"/>
        <v>0</v>
      </c>
      <c r="D12" s="25"/>
      <c r="E12" s="25">
        <f t="shared" si="2"/>
        <v>0</v>
      </c>
      <c r="F12" s="25"/>
      <c r="G12" s="25">
        <f t="shared" si="3"/>
        <v>0</v>
      </c>
      <c r="H12" s="25"/>
      <c r="I12" s="25">
        <f t="shared" si="4"/>
        <v>0</v>
      </c>
      <c r="J12" s="25"/>
      <c r="K12" s="25">
        <f t="shared" si="0"/>
        <v>0</v>
      </c>
      <c r="L12" s="25"/>
      <c r="M12" s="25">
        <f t="shared" si="5"/>
        <v>0</v>
      </c>
      <c r="N12" s="25"/>
      <c r="O12" s="25">
        <f t="shared" si="6"/>
        <v>0</v>
      </c>
      <c r="P12" s="25"/>
      <c r="Q12" s="26">
        <f t="shared" si="7"/>
        <v>0</v>
      </c>
      <c r="R12" s="25"/>
      <c r="S12" s="27">
        <f t="shared" si="8"/>
        <v>0</v>
      </c>
    </row>
    <row r="13" spans="1:19">
      <c r="A13" s="28">
        <v>8</v>
      </c>
      <c r="B13" s="25"/>
      <c r="C13" s="25">
        <f t="shared" si="1"/>
        <v>0</v>
      </c>
      <c r="D13" s="25"/>
      <c r="E13" s="25">
        <f t="shared" si="2"/>
        <v>0</v>
      </c>
      <c r="F13" s="25"/>
      <c r="G13" s="25">
        <f t="shared" si="3"/>
        <v>0</v>
      </c>
      <c r="H13" s="25"/>
      <c r="I13" s="25">
        <f t="shared" si="4"/>
        <v>0</v>
      </c>
      <c r="J13" s="25"/>
      <c r="K13" s="25">
        <f t="shared" si="0"/>
        <v>0</v>
      </c>
      <c r="L13" s="25"/>
      <c r="M13" s="25">
        <f t="shared" si="5"/>
        <v>0</v>
      </c>
      <c r="N13" s="25"/>
      <c r="O13" s="25">
        <f t="shared" si="6"/>
        <v>0</v>
      </c>
      <c r="P13" s="25"/>
      <c r="Q13" s="26">
        <f t="shared" si="7"/>
        <v>0</v>
      </c>
      <c r="R13" s="25"/>
      <c r="S13" s="27">
        <f t="shared" si="8"/>
        <v>0</v>
      </c>
    </row>
    <row r="14" spans="1:19">
      <c r="A14" s="28">
        <v>9</v>
      </c>
      <c r="B14" s="25"/>
      <c r="C14" s="25">
        <f t="shared" si="1"/>
        <v>0</v>
      </c>
      <c r="D14" s="25"/>
      <c r="E14" s="25">
        <f t="shared" si="2"/>
        <v>0</v>
      </c>
      <c r="F14" s="25"/>
      <c r="G14" s="25">
        <f t="shared" si="3"/>
        <v>0</v>
      </c>
      <c r="H14" s="25"/>
      <c r="I14" s="25">
        <f t="shared" si="4"/>
        <v>0</v>
      </c>
      <c r="J14" s="25"/>
      <c r="K14" s="25">
        <f t="shared" si="0"/>
        <v>0</v>
      </c>
      <c r="L14" s="25"/>
      <c r="M14" s="25">
        <f t="shared" si="5"/>
        <v>0</v>
      </c>
      <c r="N14" s="25"/>
      <c r="O14" s="25">
        <f t="shared" si="6"/>
        <v>0</v>
      </c>
      <c r="P14" s="25"/>
      <c r="Q14" s="26">
        <f t="shared" si="7"/>
        <v>0</v>
      </c>
      <c r="R14" s="25"/>
      <c r="S14" s="27">
        <f t="shared" si="8"/>
        <v>0</v>
      </c>
    </row>
    <row r="15" spans="1:19">
      <c r="A15" s="28">
        <v>10</v>
      </c>
      <c r="B15" s="25"/>
      <c r="C15" s="25">
        <f t="shared" si="1"/>
        <v>0</v>
      </c>
      <c r="D15" s="25"/>
      <c r="E15" s="25">
        <f t="shared" si="2"/>
        <v>0</v>
      </c>
      <c r="F15" s="25"/>
      <c r="G15" s="25">
        <f t="shared" si="3"/>
        <v>0</v>
      </c>
      <c r="H15" s="25"/>
      <c r="I15" s="25">
        <f t="shared" si="4"/>
        <v>0</v>
      </c>
      <c r="J15" s="25"/>
      <c r="K15" s="25">
        <f t="shared" si="0"/>
        <v>0</v>
      </c>
      <c r="L15" s="25"/>
      <c r="M15" s="25">
        <f t="shared" si="5"/>
        <v>0</v>
      </c>
      <c r="N15" s="25"/>
      <c r="O15" s="25">
        <f t="shared" si="6"/>
        <v>0</v>
      </c>
      <c r="P15" s="25"/>
      <c r="Q15" s="26">
        <f t="shared" si="7"/>
        <v>0</v>
      </c>
      <c r="R15" s="25"/>
      <c r="S15" s="27">
        <f t="shared" si="8"/>
        <v>0</v>
      </c>
    </row>
    <row r="16" spans="1:19">
      <c r="A16" s="28">
        <v>11</v>
      </c>
      <c r="B16" s="25"/>
      <c r="C16" s="25">
        <f t="shared" si="1"/>
        <v>0</v>
      </c>
      <c r="D16" s="25"/>
      <c r="E16" s="25">
        <f t="shared" si="2"/>
        <v>0</v>
      </c>
      <c r="F16" s="25"/>
      <c r="G16" s="25">
        <f t="shared" si="3"/>
        <v>0</v>
      </c>
      <c r="H16" s="25"/>
      <c r="I16" s="25">
        <f t="shared" si="4"/>
        <v>0</v>
      </c>
      <c r="J16" s="25"/>
      <c r="K16" s="25">
        <f t="shared" si="0"/>
        <v>0</v>
      </c>
      <c r="L16" s="25"/>
      <c r="M16" s="25">
        <f t="shared" si="5"/>
        <v>0</v>
      </c>
      <c r="N16" s="25"/>
      <c r="O16" s="25">
        <f t="shared" si="6"/>
        <v>0</v>
      </c>
      <c r="P16" s="25"/>
      <c r="Q16" s="26">
        <f t="shared" si="7"/>
        <v>0</v>
      </c>
      <c r="R16" s="25"/>
      <c r="S16" s="27">
        <f t="shared" si="8"/>
        <v>0</v>
      </c>
    </row>
    <row r="17" spans="1:19">
      <c r="A17" s="28">
        <v>12</v>
      </c>
      <c r="B17" s="25"/>
      <c r="C17" s="25">
        <f t="shared" si="1"/>
        <v>0</v>
      </c>
      <c r="D17" s="25"/>
      <c r="E17" s="25">
        <f t="shared" si="2"/>
        <v>0</v>
      </c>
      <c r="F17" s="25"/>
      <c r="G17" s="25">
        <f t="shared" si="3"/>
        <v>0</v>
      </c>
      <c r="H17" s="25"/>
      <c r="I17" s="25">
        <f t="shared" si="4"/>
        <v>0</v>
      </c>
      <c r="J17" s="25"/>
      <c r="K17" s="25">
        <f t="shared" si="0"/>
        <v>0</v>
      </c>
      <c r="L17" s="25"/>
      <c r="M17" s="25">
        <f t="shared" si="5"/>
        <v>0</v>
      </c>
      <c r="N17" s="25"/>
      <c r="O17" s="25">
        <f t="shared" si="6"/>
        <v>0</v>
      </c>
      <c r="P17" s="25"/>
      <c r="Q17" s="26">
        <f t="shared" si="7"/>
        <v>0</v>
      </c>
      <c r="R17" s="25"/>
      <c r="S17" s="27">
        <f t="shared" si="8"/>
        <v>0</v>
      </c>
    </row>
    <row r="18" spans="1:19">
      <c r="A18" s="28">
        <v>13</v>
      </c>
      <c r="B18" s="25"/>
      <c r="C18" s="25">
        <f t="shared" si="1"/>
        <v>0</v>
      </c>
      <c r="D18" s="25"/>
      <c r="E18" s="25">
        <f t="shared" si="2"/>
        <v>0</v>
      </c>
      <c r="F18" s="25"/>
      <c r="G18" s="25">
        <f t="shared" si="3"/>
        <v>0</v>
      </c>
      <c r="H18" s="25"/>
      <c r="I18" s="25">
        <f t="shared" si="4"/>
        <v>0</v>
      </c>
      <c r="J18" s="25"/>
      <c r="K18" s="25">
        <f t="shared" si="0"/>
        <v>0</v>
      </c>
      <c r="L18" s="25"/>
      <c r="M18" s="25">
        <f t="shared" si="5"/>
        <v>0</v>
      </c>
      <c r="N18" s="25"/>
      <c r="O18" s="25">
        <f t="shared" si="6"/>
        <v>0</v>
      </c>
      <c r="P18" s="25"/>
      <c r="Q18" s="26">
        <f t="shared" si="7"/>
        <v>0</v>
      </c>
      <c r="R18" s="25"/>
      <c r="S18" s="27">
        <f t="shared" si="8"/>
        <v>0</v>
      </c>
    </row>
    <row r="19" spans="1:19">
      <c r="A19" s="28">
        <v>14</v>
      </c>
      <c r="B19" s="25"/>
      <c r="C19" s="25">
        <f t="shared" si="1"/>
        <v>0</v>
      </c>
      <c r="D19" s="25"/>
      <c r="E19" s="25">
        <f t="shared" si="2"/>
        <v>0</v>
      </c>
      <c r="F19" s="25"/>
      <c r="G19" s="25">
        <f t="shared" si="3"/>
        <v>0</v>
      </c>
      <c r="H19" s="25"/>
      <c r="I19" s="25">
        <f t="shared" si="4"/>
        <v>0</v>
      </c>
      <c r="J19" s="25"/>
      <c r="K19" s="25">
        <f t="shared" si="0"/>
        <v>0</v>
      </c>
      <c r="L19" s="25"/>
      <c r="M19" s="25">
        <f t="shared" si="5"/>
        <v>0</v>
      </c>
      <c r="N19" s="25"/>
      <c r="O19" s="25">
        <f t="shared" si="6"/>
        <v>0</v>
      </c>
      <c r="P19" s="25"/>
      <c r="Q19" s="26">
        <f t="shared" si="7"/>
        <v>0</v>
      </c>
      <c r="R19" s="25"/>
      <c r="S19" s="27">
        <f t="shared" si="8"/>
        <v>0</v>
      </c>
    </row>
    <row r="20" spans="1:19">
      <c r="A20" s="28">
        <v>15</v>
      </c>
      <c r="B20" s="25"/>
      <c r="C20" s="25">
        <f t="shared" si="1"/>
        <v>0</v>
      </c>
      <c r="D20" s="25"/>
      <c r="E20" s="25">
        <f t="shared" si="2"/>
        <v>0</v>
      </c>
      <c r="F20" s="25"/>
      <c r="G20" s="25">
        <f t="shared" si="3"/>
        <v>0</v>
      </c>
      <c r="H20" s="25"/>
      <c r="I20" s="25">
        <f t="shared" si="4"/>
        <v>0</v>
      </c>
      <c r="J20" s="25"/>
      <c r="K20" s="25">
        <f t="shared" si="0"/>
        <v>0</v>
      </c>
      <c r="L20" s="25"/>
      <c r="M20" s="25">
        <f t="shared" si="5"/>
        <v>0</v>
      </c>
      <c r="N20" s="25"/>
      <c r="O20" s="25">
        <f t="shared" si="6"/>
        <v>0</v>
      </c>
      <c r="P20" s="25"/>
      <c r="Q20" s="26">
        <f t="shared" si="7"/>
        <v>0</v>
      </c>
      <c r="R20" s="25"/>
      <c r="S20" s="27">
        <f t="shared" si="8"/>
        <v>0</v>
      </c>
    </row>
    <row r="21" spans="1:19">
      <c r="A21" s="28">
        <v>16</v>
      </c>
      <c r="B21" s="25"/>
      <c r="C21" s="25">
        <f t="shared" si="1"/>
        <v>0</v>
      </c>
      <c r="D21" s="25"/>
      <c r="E21" s="25">
        <f t="shared" si="2"/>
        <v>0</v>
      </c>
      <c r="F21" s="25"/>
      <c r="G21" s="25">
        <f t="shared" si="3"/>
        <v>0</v>
      </c>
      <c r="H21" s="25"/>
      <c r="I21" s="25">
        <f t="shared" si="4"/>
        <v>0</v>
      </c>
      <c r="J21" s="25"/>
      <c r="K21" s="25">
        <f t="shared" si="0"/>
        <v>0</v>
      </c>
      <c r="L21" s="25"/>
      <c r="M21" s="25">
        <f t="shared" si="5"/>
        <v>0</v>
      </c>
      <c r="N21" s="25"/>
      <c r="O21" s="25">
        <f t="shared" si="6"/>
        <v>0</v>
      </c>
      <c r="P21" s="25"/>
      <c r="Q21" s="26">
        <f t="shared" si="7"/>
        <v>0</v>
      </c>
      <c r="R21" s="25"/>
      <c r="S21" s="27">
        <f t="shared" si="8"/>
        <v>0</v>
      </c>
    </row>
    <row r="22" spans="1:19">
      <c r="A22" s="28">
        <v>17</v>
      </c>
      <c r="B22" s="25"/>
      <c r="C22" s="25">
        <f t="shared" si="1"/>
        <v>0</v>
      </c>
      <c r="D22" s="25"/>
      <c r="E22" s="25">
        <f t="shared" si="2"/>
        <v>0</v>
      </c>
      <c r="F22" s="25"/>
      <c r="G22" s="25">
        <f t="shared" si="3"/>
        <v>0</v>
      </c>
      <c r="H22" s="25"/>
      <c r="I22" s="25">
        <f t="shared" si="4"/>
        <v>0</v>
      </c>
      <c r="J22" s="25"/>
      <c r="K22" s="25">
        <f t="shared" si="0"/>
        <v>0</v>
      </c>
      <c r="L22" s="25"/>
      <c r="M22" s="25">
        <f t="shared" si="5"/>
        <v>0</v>
      </c>
      <c r="N22" s="25"/>
      <c r="O22" s="25">
        <f t="shared" si="6"/>
        <v>0</v>
      </c>
      <c r="P22" s="25"/>
      <c r="Q22" s="26">
        <f t="shared" si="7"/>
        <v>0</v>
      </c>
      <c r="R22" s="25"/>
      <c r="S22" s="27">
        <f t="shared" si="8"/>
        <v>0</v>
      </c>
    </row>
    <row r="23" spans="1:19">
      <c r="A23" s="28">
        <v>18</v>
      </c>
      <c r="B23" s="25"/>
      <c r="C23" s="25">
        <f t="shared" si="1"/>
        <v>0</v>
      </c>
      <c r="D23" s="25"/>
      <c r="E23" s="25">
        <f t="shared" si="2"/>
        <v>0</v>
      </c>
      <c r="F23" s="25"/>
      <c r="G23" s="25">
        <f t="shared" si="3"/>
        <v>0</v>
      </c>
      <c r="H23" s="25"/>
      <c r="I23" s="25">
        <f t="shared" si="4"/>
        <v>0</v>
      </c>
      <c r="J23" s="25"/>
      <c r="K23" s="25">
        <f t="shared" si="0"/>
        <v>0</v>
      </c>
      <c r="L23" s="25"/>
      <c r="M23" s="25">
        <f t="shared" si="5"/>
        <v>0</v>
      </c>
      <c r="N23" s="25"/>
      <c r="O23" s="25">
        <f t="shared" si="6"/>
        <v>0</v>
      </c>
      <c r="P23" s="25"/>
      <c r="Q23" s="26">
        <f t="shared" si="7"/>
        <v>0</v>
      </c>
      <c r="R23" s="25"/>
      <c r="S23" s="27">
        <f t="shared" si="8"/>
        <v>0</v>
      </c>
    </row>
    <row r="24" spans="1:19">
      <c r="A24" s="28">
        <v>19</v>
      </c>
      <c r="B24" s="25"/>
      <c r="C24" s="25">
        <f t="shared" si="1"/>
        <v>0</v>
      </c>
      <c r="D24" s="25"/>
      <c r="E24" s="25">
        <f t="shared" si="2"/>
        <v>0</v>
      </c>
      <c r="F24" s="25"/>
      <c r="G24" s="25">
        <f t="shared" si="3"/>
        <v>0</v>
      </c>
      <c r="H24" s="25"/>
      <c r="I24" s="25">
        <f t="shared" si="4"/>
        <v>0</v>
      </c>
      <c r="J24" s="25"/>
      <c r="K24" s="25">
        <f t="shared" si="0"/>
        <v>0</v>
      </c>
      <c r="L24" s="25"/>
      <c r="M24" s="25">
        <f t="shared" si="5"/>
        <v>0</v>
      </c>
      <c r="N24" s="25"/>
      <c r="O24" s="25">
        <f t="shared" si="6"/>
        <v>0</v>
      </c>
      <c r="P24" s="25"/>
      <c r="Q24" s="26">
        <f t="shared" si="7"/>
        <v>0</v>
      </c>
      <c r="R24" s="25"/>
      <c r="S24" s="27">
        <f t="shared" si="8"/>
        <v>0</v>
      </c>
    </row>
    <row r="25" spans="1:19">
      <c r="A25" s="28">
        <v>20</v>
      </c>
      <c r="B25" s="25"/>
      <c r="C25" s="25">
        <f t="shared" si="1"/>
        <v>0</v>
      </c>
      <c r="D25" s="25"/>
      <c r="E25" s="25">
        <f t="shared" si="2"/>
        <v>0</v>
      </c>
      <c r="F25" s="25"/>
      <c r="G25" s="25">
        <f t="shared" si="3"/>
        <v>0</v>
      </c>
      <c r="H25" s="25"/>
      <c r="I25" s="25">
        <f t="shared" si="4"/>
        <v>0</v>
      </c>
      <c r="J25" s="25"/>
      <c r="K25" s="25">
        <f t="shared" si="0"/>
        <v>0</v>
      </c>
      <c r="L25" s="25"/>
      <c r="M25" s="25">
        <f t="shared" si="5"/>
        <v>0</v>
      </c>
      <c r="N25" s="25"/>
      <c r="O25" s="25">
        <f t="shared" si="6"/>
        <v>0</v>
      </c>
      <c r="P25" s="25"/>
      <c r="Q25" s="26">
        <f t="shared" si="7"/>
        <v>0</v>
      </c>
      <c r="R25" s="25"/>
      <c r="S25" s="27">
        <f t="shared" si="8"/>
        <v>0</v>
      </c>
    </row>
    <row r="26" spans="1:19">
      <c r="A26" s="28">
        <v>21</v>
      </c>
      <c r="B26" s="25"/>
      <c r="C26" s="25">
        <f t="shared" si="1"/>
        <v>0</v>
      </c>
      <c r="D26" s="25"/>
      <c r="E26" s="25">
        <f t="shared" si="2"/>
        <v>0</v>
      </c>
      <c r="F26" s="25"/>
      <c r="G26" s="25">
        <f t="shared" si="3"/>
        <v>0</v>
      </c>
      <c r="H26" s="25"/>
      <c r="I26" s="25">
        <f t="shared" si="4"/>
        <v>0</v>
      </c>
      <c r="J26" s="25"/>
      <c r="K26" s="25">
        <f t="shared" si="0"/>
        <v>0</v>
      </c>
      <c r="L26" s="25"/>
      <c r="M26" s="25">
        <f t="shared" si="5"/>
        <v>0</v>
      </c>
      <c r="N26" s="25"/>
      <c r="O26" s="25">
        <f t="shared" si="6"/>
        <v>0</v>
      </c>
      <c r="P26" s="25"/>
      <c r="Q26" s="26">
        <f t="shared" si="7"/>
        <v>0</v>
      </c>
      <c r="R26" s="25"/>
      <c r="S26" s="27">
        <f t="shared" si="8"/>
        <v>0</v>
      </c>
    </row>
    <row r="27" spans="1:19">
      <c r="A27" s="28">
        <v>22</v>
      </c>
      <c r="B27" s="25"/>
      <c r="C27" s="25">
        <f t="shared" si="1"/>
        <v>0</v>
      </c>
      <c r="D27" s="25"/>
      <c r="E27" s="25">
        <f t="shared" si="2"/>
        <v>0</v>
      </c>
      <c r="F27" s="25"/>
      <c r="G27" s="25">
        <f t="shared" si="3"/>
        <v>0</v>
      </c>
      <c r="H27" s="25"/>
      <c r="I27" s="25">
        <f t="shared" si="4"/>
        <v>0</v>
      </c>
      <c r="J27" s="25"/>
      <c r="K27" s="25">
        <f t="shared" si="0"/>
        <v>0</v>
      </c>
      <c r="L27" s="25"/>
      <c r="M27" s="25">
        <f t="shared" si="5"/>
        <v>0</v>
      </c>
      <c r="N27" s="25"/>
      <c r="O27" s="25">
        <f t="shared" si="6"/>
        <v>0</v>
      </c>
      <c r="P27" s="25"/>
      <c r="Q27" s="26">
        <f t="shared" si="7"/>
        <v>0</v>
      </c>
      <c r="R27" s="25"/>
      <c r="S27" s="27">
        <f t="shared" si="8"/>
        <v>0</v>
      </c>
    </row>
    <row r="28" spans="1:19">
      <c r="A28" s="28">
        <v>23</v>
      </c>
      <c r="B28" s="25"/>
      <c r="C28" s="25">
        <f t="shared" si="1"/>
        <v>0</v>
      </c>
      <c r="D28" s="25"/>
      <c r="E28" s="25">
        <f t="shared" si="2"/>
        <v>0</v>
      </c>
      <c r="F28" s="25"/>
      <c r="G28" s="25">
        <f t="shared" si="3"/>
        <v>0</v>
      </c>
      <c r="H28" s="25"/>
      <c r="I28" s="25">
        <f t="shared" si="4"/>
        <v>0</v>
      </c>
      <c r="J28" s="25"/>
      <c r="K28" s="25">
        <f t="shared" si="0"/>
        <v>0</v>
      </c>
      <c r="L28" s="25"/>
      <c r="M28" s="25">
        <f t="shared" si="5"/>
        <v>0</v>
      </c>
      <c r="N28" s="25"/>
      <c r="O28" s="25">
        <f t="shared" si="6"/>
        <v>0</v>
      </c>
      <c r="P28" s="25"/>
      <c r="Q28" s="26">
        <f t="shared" si="7"/>
        <v>0</v>
      </c>
      <c r="R28" s="25"/>
      <c r="S28" s="27">
        <f t="shared" si="8"/>
        <v>0</v>
      </c>
    </row>
    <row r="29" spans="1:19">
      <c r="A29" s="28">
        <v>24</v>
      </c>
      <c r="B29" s="25"/>
      <c r="C29" s="25">
        <f t="shared" si="1"/>
        <v>0</v>
      </c>
      <c r="D29" s="25"/>
      <c r="E29" s="25">
        <f t="shared" si="2"/>
        <v>0</v>
      </c>
      <c r="F29" s="25"/>
      <c r="G29" s="25">
        <f t="shared" si="3"/>
        <v>0</v>
      </c>
      <c r="H29" s="25"/>
      <c r="I29" s="25">
        <f t="shared" si="4"/>
        <v>0</v>
      </c>
      <c r="J29" s="25"/>
      <c r="K29" s="25">
        <f t="shared" si="0"/>
        <v>0</v>
      </c>
      <c r="L29" s="25"/>
      <c r="M29" s="25">
        <f t="shared" si="5"/>
        <v>0</v>
      </c>
      <c r="N29" s="25"/>
      <c r="O29" s="25">
        <f t="shared" si="6"/>
        <v>0</v>
      </c>
      <c r="P29" s="25"/>
      <c r="Q29" s="26">
        <f t="shared" si="7"/>
        <v>0</v>
      </c>
      <c r="R29" s="25"/>
      <c r="S29" s="27">
        <f t="shared" si="8"/>
        <v>0</v>
      </c>
    </row>
    <row r="30" spans="1:19">
      <c r="A30" s="28">
        <v>25</v>
      </c>
      <c r="B30" s="25"/>
      <c r="C30" s="25">
        <f t="shared" si="1"/>
        <v>0</v>
      </c>
      <c r="D30" s="25"/>
      <c r="E30" s="25">
        <f t="shared" si="2"/>
        <v>0</v>
      </c>
      <c r="F30" s="25"/>
      <c r="G30" s="25">
        <f t="shared" si="3"/>
        <v>0</v>
      </c>
      <c r="H30" s="25"/>
      <c r="I30" s="25">
        <f t="shared" si="4"/>
        <v>0</v>
      </c>
      <c r="J30" s="25"/>
      <c r="K30" s="25">
        <f t="shared" si="0"/>
        <v>0</v>
      </c>
      <c r="L30" s="25"/>
      <c r="M30" s="25">
        <f t="shared" si="5"/>
        <v>0</v>
      </c>
      <c r="N30" s="25"/>
      <c r="O30" s="25">
        <f t="shared" si="6"/>
        <v>0</v>
      </c>
      <c r="P30" s="25"/>
      <c r="Q30" s="26">
        <f t="shared" si="7"/>
        <v>0</v>
      </c>
      <c r="R30" s="25"/>
      <c r="S30" s="27">
        <f t="shared" si="8"/>
        <v>0</v>
      </c>
    </row>
    <row r="31" spans="1:19">
      <c r="A31" s="28">
        <v>26</v>
      </c>
      <c r="B31" s="25"/>
      <c r="C31" s="25">
        <f t="shared" si="1"/>
        <v>0</v>
      </c>
      <c r="D31" s="25"/>
      <c r="E31" s="25">
        <f t="shared" si="2"/>
        <v>0</v>
      </c>
      <c r="F31" s="25"/>
      <c r="G31" s="25">
        <f t="shared" si="3"/>
        <v>0</v>
      </c>
      <c r="H31" s="25"/>
      <c r="I31" s="25">
        <f t="shared" si="4"/>
        <v>0</v>
      </c>
      <c r="J31" s="25"/>
      <c r="K31" s="25">
        <f t="shared" si="0"/>
        <v>0</v>
      </c>
      <c r="L31" s="25"/>
      <c r="M31" s="25">
        <f t="shared" si="5"/>
        <v>0</v>
      </c>
      <c r="N31" s="25"/>
      <c r="O31" s="25">
        <f t="shared" si="6"/>
        <v>0</v>
      </c>
      <c r="P31" s="25"/>
      <c r="Q31" s="26">
        <f t="shared" si="7"/>
        <v>0</v>
      </c>
      <c r="R31" s="25"/>
      <c r="S31" s="27">
        <f t="shared" si="8"/>
        <v>0</v>
      </c>
    </row>
    <row r="32" spans="1:19">
      <c r="A32" s="28">
        <v>27</v>
      </c>
      <c r="B32" s="25"/>
      <c r="C32" s="25">
        <f t="shared" si="1"/>
        <v>0</v>
      </c>
      <c r="D32" s="25"/>
      <c r="E32" s="25">
        <f t="shared" si="2"/>
        <v>0</v>
      </c>
      <c r="F32" s="25"/>
      <c r="G32" s="25">
        <f t="shared" si="3"/>
        <v>0</v>
      </c>
      <c r="H32" s="25"/>
      <c r="I32" s="25">
        <f t="shared" si="4"/>
        <v>0</v>
      </c>
      <c r="J32" s="25"/>
      <c r="K32" s="25">
        <f t="shared" si="0"/>
        <v>0</v>
      </c>
      <c r="L32" s="25"/>
      <c r="M32" s="25">
        <f t="shared" si="5"/>
        <v>0</v>
      </c>
      <c r="N32" s="25"/>
      <c r="O32" s="25">
        <f t="shared" si="6"/>
        <v>0</v>
      </c>
      <c r="P32" s="25"/>
      <c r="Q32" s="26">
        <f t="shared" si="7"/>
        <v>0</v>
      </c>
      <c r="R32" s="25"/>
      <c r="S32" s="27">
        <f t="shared" si="8"/>
        <v>0</v>
      </c>
    </row>
    <row r="33" spans="1:19">
      <c r="A33" s="28">
        <v>28</v>
      </c>
      <c r="B33" s="25"/>
      <c r="C33" s="25">
        <f t="shared" si="1"/>
        <v>0</v>
      </c>
      <c r="D33" s="25"/>
      <c r="E33" s="25">
        <f t="shared" si="2"/>
        <v>0</v>
      </c>
      <c r="F33" s="25"/>
      <c r="G33" s="25">
        <f t="shared" si="3"/>
        <v>0</v>
      </c>
      <c r="H33" s="25"/>
      <c r="I33" s="25">
        <f t="shared" si="4"/>
        <v>0</v>
      </c>
      <c r="J33" s="25"/>
      <c r="K33" s="25">
        <f t="shared" si="0"/>
        <v>0</v>
      </c>
      <c r="L33" s="25"/>
      <c r="M33" s="25">
        <f t="shared" si="5"/>
        <v>0</v>
      </c>
      <c r="N33" s="25"/>
      <c r="O33" s="25">
        <f t="shared" si="6"/>
        <v>0</v>
      </c>
      <c r="P33" s="25"/>
      <c r="Q33" s="26">
        <f t="shared" si="7"/>
        <v>0</v>
      </c>
      <c r="R33" s="25"/>
      <c r="S33" s="27">
        <f t="shared" si="8"/>
        <v>0</v>
      </c>
    </row>
    <row r="34" spans="1:19">
      <c r="A34" s="28">
        <v>29</v>
      </c>
      <c r="B34" s="25"/>
      <c r="C34" s="25">
        <f t="shared" si="1"/>
        <v>0</v>
      </c>
      <c r="D34" s="25"/>
      <c r="E34" s="25">
        <f t="shared" si="2"/>
        <v>0</v>
      </c>
      <c r="F34" s="25"/>
      <c r="G34" s="25">
        <f t="shared" si="3"/>
        <v>0</v>
      </c>
      <c r="H34" s="25"/>
      <c r="I34" s="25">
        <f t="shared" si="4"/>
        <v>0</v>
      </c>
      <c r="J34" s="25"/>
      <c r="K34" s="25">
        <f t="shared" si="0"/>
        <v>0</v>
      </c>
      <c r="L34" s="25"/>
      <c r="M34" s="25">
        <f t="shared" si="5"/>
        <v>0</v>
      </c>
      <c r="N34" s="25"/>
      <c r="O34" s="25">
        <f t="shared" si="6"/>
        <v>0</v>
      </c>
      <c r="P34" s="25"/>
      <c r="Q34" s="26">
        <f t="shared" si="7"/>
        <v>0</v>
      </c>
      <c r="R34" s="25"/>
      <c r="S34" s="27">
        <f t="shared" si="8"/>
        <v>0</v>
      </c>
    </row>
    <row r="35" spans="1:19">
      <c r="A35" s="28">
        <v>30</v>
      </c>
      <c r="B35" s="25"/>
      <c r="C35" s="25">
        <f t="shared" si="1"/>
        <v>0</v>
      </c>
      <c r="D35" s="25"/>
      <c r="E35" s="25">
        <f t="shared" si="2"/>
        <v>0</v>
      </c>
      <c r="F35" s="25"/>
      <c r="G35" s="25">
        <f t="shared" si="3"/>
        <v>0</v>
      </c>
      <c r="H35" s="25"/>
      <c r="I35" s="25">
        <f t="shared" si="4"/>
        <v>0</v>
      </c>
      <c r="J35" s="25"/>
      <c r="K35" s="25">
        <f t="shared" si="0"/>
        <v>0</v>
      </c>
      <c r="L35" s="25"/>
      <c r="M35" s="25">
        <f t="shared" si="5"/>
        <v>0</v>
      </c>
      <c r="N35" s="25"/>
      <c r="O35" s="25">
        <f t="shared" si="6"/>
        <v>0</v>
      </c>
      <c r="P35" s="25"/>
      <c r="Q35" s="26">
        <f t="shared" si="7"/>
        <v>0</v>
      </c>
      <c r="R35" s="25"/>
      <c r="S35" s="27">
        <f t="shared" si="8"/>
        <v>0</v>
      </c>
    </row>
    <row r="36" spans="1:19" ht="30.75" customHeight="1">
      <c r="A36" s="39"/>
      <c r="B36" s="29" t="s">
        <v>11</v>
      </c>
      <c r="C36" s="30">
        <f>SUM(C6:C35)</f>
        <v>0</v>
      </c>
      <c r="D36" s="29" t="s">
        <v>11</v>
      </c>
      <c r="E36" s="30">
        <f>SUM(E6:E35)</f>
        <v>0</v>
      </c>
      <c r="F36" s="29" t="s">
        <v>11</v>
      </c>
      <c r="G36" s="30">
        <f>SUM(G6:G35)</f>
        <v>3280</v>
      </c>
      <c r="H36" s="29" t="s">
        <v>11</v>
      </c>
      <c r="I36" s="30">
        <f>SUM(I6:I35)</f>
        <v>720</v>
      </c>
      <c r="J36" s="29" t="s">
        <v>11</v>
      </c>
      <c r="K36" s="30">
        <f>SUM(K6:K35)</f>
        <v>640</v>
      </c>
      <c r="L36" s="29" t="s">
        <v>11</v>
      </c>
      <c r="M36" s="30">
        <f>SUM(M6:M35)</f>
        <v>520</v>
      </c>
      <c r="N36" s="29" t="s">
        <v>11</v>
      </c>
      <c r="O36" s="30">
        <f>SUM(O6:O35)</f>
        <v>540</v>
      </c>
      <c r="P36" s="29" t="s">
        <v>11</v>
      </c>
      <c r="Q36" s="30">
        <f>SUM(Q6:Q35)</f>
        <v>720</v>
      </c>
      <c r="R36" s="29" t="s">
        <v>11</v>
      </c>
      <c r="S36" s="27">
        <f>SUM(S6:S35)</f>
        <v>2480</v>
      </c>
    </row>
    <row r="37" spans="1:19" ht="35.25" customHeight="1" thickBot="1">
      <c r="A37" s="40"/>
      <c r="B37" s="31" t="s">
        <v>14</v>
      </c>
      <c r="C37" s="30">
        <f>IF(C36=0,9,RANK(C36,$C$36:$S$36,0))</f>
        <v>9</v>
      </c>
      <c r="D37" s="31" t="s">
        <v>14</v>
      </c>
      <c r="E37" s="30">
        <f t="shared" ref="E37" si="9">IF(E36=0,9,RANK(E36,$C$36:$S$36,0))</f>
        <v>9</v>
      </c>
      <c r="F37" s="31" t="s">
        <v>14</v>
      </c>
      <c r="G37" s="30">
        <f t="shared" ref="G37" si="10">IF(G36=0,9,RANK(G36,$C$36:$S$36,0))</f>
        <v>1</v>
      </c>
      <c r="H37" s="31" t="s">
        <v>14</v>
      </c>
      <c r="I37" s="30">
        <f t="shared" ref="I37" si="11">IF(I36=0,9,RANK(I36,$C$36:$S$36,0))</f>
        <v>3</v>
      </c>
      <c r="J37" s="31" t="s">
        <v>14</v>
      </c>
      <c r="K37" s="30">
        <f t="shared" ref="K37" si="12">IF(K36=0,9,RANK(K36,$C$36:$S$36,0))</f>
        <v>5</v>
      </c>
      <c r="L37" s="31" t="s">
        <v>14</v>
      </c>
      <c r="M37" s="30">
        <f t="shared" ref="M37" si="13">IF(M36=0,9,RANK(M36,$C$36:$S$36,0))</f>
        <v>7</v>
      </c>
      <c r="N37" s="31" t="s">
        <v>14</v>
      </c>
      <c r="O37" s="30">
        <f t="shared" ref="O37" si="14">IF(O36=0,9,RANK(O36,$C$36:$S$36,0))</f>
        <v>6</v>
      </c>
      <c r="P37" s="31" t="s">
        <v>14</v>
      </c>
      <c r="Q37" s="30">
        <f t="shared" ref="Q37" si="15">IF(Q36=0,9,RANK(Q36,$C$36:$S$36,0))</f>
        <v>3</v>
      </c>
      <c r="R37" s="29" t="s">
        <v>14</v>
      </c>
      <c r="S37" s="27">
        <f t="shared" ref="S37" si="16">IF(S36=0,9,RANK(S36,$C$36:$S$36,0))</f>
        <v>2</v>
      </c>
    </row>
    <row r="38" spans="1:19">
      <c r="A38" s="32"/>
      <c r="B38" s="141" t="s">
        <v>29</v>
      </c>
      <c r="C38" s="137">
        <f>COUNT(B6:B35)</f>
        <v>0</v>
      </c>
      <c r="D38" s="141" t="s">
        <v>29</v>
      </c>
      <c r="E38" s="137">
        <f t="shared" ref="E38" si="17">COUNT(D6:D35)</f>
        <v>0</v>
      </c>
      <c r="F38" s="141" t="s">
        <v>29</v>
      </c>
      <c r="G38" s="137">
        <f t="shared" ref="G38" si="18">COUNT(F6:F35)</f>
        <v>5</v>
      </c>
      <c r="H38" s="141" t="s">
        <v>29</v>
      </c>
      <c r="I38" s="137">
        <f t="shared" ref="I38" si="19">COUNT(H6:H35)</f>
        <v>1</v>
      </c>
      <c r="J38" s="141" t="s">
        <v>29</v>
      </c>
      <c r="K38" s="137">
        <f t="shared" ref="K38" si="20">COUNT(J6:J35)</f>
        <v>1</v>
      </c>
      <c r="L38" s="141" t="s">
        <v>29</v>
      </c>
      <c r="M38" s="137">
        <f t="shared" ref="M38" si="21">COUNT(L6:L35)</f>
        <v>1</v>
      </c>
      <c r="N38" s="141" t="s">
        <v>29</v>
      </c>
      <c r="O38" s="137">
        <f t="shared" ref="O38" si="22">COUNT(N6:N35)</f>
        <v>1</v>
      </c>
      <c r="P38" s="141" t="s">
        <v>29</v>
      </c>
      <c r="Q38" s="148">
        <f t="shared" ref="Q38" si="23">COUNT(P6:P35)</f>
        <v>1</v>
      </c>
      <c r="R38" s="141" t="s">
        <v>29</v>
      </c>
      <c r="S38" s="138">
        <f t="shared" ref="S38" si="24">COUNT(R6:R35)</f>
        <v>4</v>
      </c>
    </row>
    <row r="39" spans="1:19">
      <c r="A39" s="41"/>
      <c r="B39" s="141"/>
      <c r="C39" s="137"/>
      <c r="D39" s="141"/>
      <c r="E39" s="137"/>
      <c r="F39" s="141"/>
      <c r="G39" s="137"/>
      <c r="H39" s="141"/>
      <c r="I39" s="137"/>
      <c r="J39" s="141"/>
      <c r="K39" s="137"/>
      <c r="L39" s="141"/>
      <c r="M39" s="137"/>
      <c r="N39" s="141"/>
      <c r="O39" s="137"/>
      <c r="P39" s="141"/>
      <c r="Q39" s="148"/>
      <c r="R39" s="141"/>
      <c r="S39" s="138"/>
    </row>
    <row r="40" spans="1:19">
      <c r="A40" s="32"/>
      <c r="B40" s="141"/>
      <c r="C40" s="137"/>
      <c r="D40" s="141"/>
      <c r="E40" s="137"/>
      <c r="F40" s="141"/>
      <c r="G40" s="137"/>
      <c r="H40" s="141"/>
      <c r="I40" s="137"/>
      <c r="J40" s="141"/>
      <c r="K40" s="137"/>
      <c r="L40" s="141"/>
      <c r="M40" s="137"/>
      <c r="N40" s="141"/>
      <c r="O40" s="137"/>
      <c r="P40" s="141"/>
      <c r="Q40" s="148"/>
      <c r="R40" s="141"/>
      <c r="S40" s="138"/>
    </row>
    <row r="41" spans="1:19" ht="40.5" customHeight="1" thickBot="1">
      <c r="A41" s="33"/>
      <c r="B41" s="34" t="s">
        <v>30</v>
      </c>
      <c r="C41" s="34">
        <f>MAX(B6:B35)</f>
        <v>0</v>
      </c>
      <c r="D41" s="34" t="s">
        <v>30</v>
      </c>
      <c r="E41" s="34">
        <f t="shared" ref="E41" si="25">MAX(D6:D35)</f>
        <v>0</v>
      </c>
      <c r="F41" s="34" t="s">
        <v>30</v>
      </c>
      <c r="G41" s="34">
        <f t="shared" ref="G41" si="26">MAX(F6:F35)</f>
        <v>35</v>
      </c>
      <c r="H41" s="34" t="s">
        <v>30</v>
      </c>
      <c r="I41" s="34">
        <f t="shared" ref="I41" si="27">MAX(H6:H35)</f>
        <v>31</v>
      </c>
      <c r="J41" s="34" t="s">
        <v>30</v>
      </c>
      <c r="K41" s="34">
        <f t="shared" ref="K41" si="28">MAX(J6:J35)</f>
        <v>27</v>
      </c>
      <c r="L41" s="34" t="s">
        <v>30</v>
      </c>
      <c r="M41" s="34">
        <f t="shared" ref="M41" si="29">MAX(L6:L35)</f>
        <v>21</v>
      </c>
      <c r="N41" s="34" t="s">
        <v>30</v>
      </c>
      <c r="O41" s="34">
        <f t="shared" ref="O41" si="30">MAX(N6:N35)</f>
        <v>22</v>
      </c>
      <c r="P41" s="34" t="s">
        <v>30</v>
      </c>
      <c r="Q41" s="72">
        <f t="shared" ref="Q41" si="31">MAX(P6:P35)</f>
        <v>31</v>
      </c>
      <c r="R41" s="34" t="s">
        <v>30</v>
      </c>
      <c r="S41" s="73">
        <f t="shared" ref="S41" si="32">MAX(R6:R35)</f>
        <v>28</v>
      </c>
    </row>
    <row r="42" spans="1:19">
      <c r="A42" s="14"/>
      <c r="B42" s="14"/>
      <c r="C42" s="14"/>
      <c r="D42" s="14"/>
      <c r="E42" s="14"/>
      <c r="F42" s="14"/>
      <c r="G42" s="14"/>
      <c r="H42" s="14"/>
      <c r="I42" s="14"/>
      <c r="J42" s="14"/>
      <c r="K42" s="14"/>
      <c r="L42" s="14"/>
      <c r="M42" s="14"/>
      <c r="N42" s="14"/>
      <c r="O42" s="14"/>
      <c r="P42" s="14"/>
      <c r="Q42" s="14"/>
      <c r="R42" s="14"/>
      <c r="S42" s="14"/>
    </row>
    <row r="43" spans="1:19">
      <c r="A43" s="14"/>
      <c r="B43" s="14"/>
      <c r="C43" s="14"/>
      <c r="D43" s="14"/>
      <c r="E43" s="14"/>
      <c r="F43" s="14"/>
      <c r="G43" s="14"/>
      <c r="H43" s="14"/>
      <c r="I43" s="14"/>
      <c r="J43" s="14"/>
      <c r="K43" s="14"/>
      <c r="L43" s="14"/>
      <c r="M43" s="14"/>
      <c r="N43" s="14"/>
      <c r="O43" s="14"/>
      <c r="P43" s="14"/>
      <c r="Q43" s="14"/>
      <c r="R43" s="14"/>
      <c r="S43" s="14"/>
    </row>
    <row r="44" spans="1:19" ht="15.75" thickBot="1">
      <c r="A44" s="14"/>
      <c r="B44" s="14"/>
      <c r="C44" s="14"/>
      <c r="D44" s="14"/>
      <c r="E44" s="14"/>
      <c r="F44" s="14"/>
      <c r="G44" s="14"/>
      <c r="H44" s="14"/>
      <c r="I44" s="14"/>
      <c r="J44" s="14"/>
      <c r="K44" s="14"/>
      <c r="L44" s="14"/>
      <c r="M44" s="14"/>
      <c r="N44" s="14"/>
      <c r="O44" s="14"/>
      <c r="P44" s="14"/>
      <c r="Q44" s="14"/>
      <c r="R44" s="14"/>
      <c r="S44" s="14"/>
    </row>
    <row r="45" spans="1:19" ht="15" customHeight="1">
      <c r="A45" s="153" t="s">
        <v>23</v>
      </c>
      <c r="B45" s="154"/>
      <c r="C45" s="154"/>
      <c r="D45" s="154"/>
      <c r="E45" s="154"/>
      <c r="F45" s="154"/>
      <c r="G45" s="154"/>
      <c r="H45" s="154"/>
      <c r="I45" s="154"/>
      <c r="J45" s="154"/>
      <c r="K45" s="154"/>
      <c r="L45" s="154"/>
      <c r="M45" s="154"/>
      <c r="N45" s="154"/>
      <c r="O45" s="154"/>
      <c r="P45" s="154"/>
      <c r="Q45" s="154"/>
      <c r="R45" s="154"/>
      <c r="S45" s="155"/>
    </row>
    <row r="46" spans="1:19" ht="15" customHeight="1">
      <c r="A46" s="156"/>
      <c r="B46" s="157"/>
      <c r="C46" s="157"/>
      <c r="D46" s="157"/>
      <c r="E46" s="157"/>
      <c r="F46" s="157"/>
      <c r="G46" s="157"/>
      <c r="H46" s="157"/>
      <c r="I46" s="157"/>
      <c r="J46" s="157"/>
      <c r="K46" s="157"/>
      <c r="L46" s="157"/>
      <c r="M46" s="157"/>
      <c r="N46" s="157"/>
      <c r="O46" s="157"/>
      <c r="P46" s="157"/>
      <c r="Q46" s="157"/>
      <c r="R46" s="157"/>
      <c r="S46" s="158"/>
    </row>
    <row r="47" spans="1:19">
      <c r="A47" s="152" t="s">
        <v>15</v>
      </c>
      <c r="B47" s="137" t="s">
        <v>10</v>
      </c>
      <c r="C47" s="137"/>
      <c r="D47" s="137" t="s">
        <v>10</v>
      </c>
      <c r="E47" s="137"/>
      <c r="F47" s="137" t="s">
        <v>10</v>
      </c>
      <c r="G47" s="137"/>
      <c r="H47" s="137" t="s">
        <v>10</v>
      </c>
      <c r="I47" s="137"/>
      <c r="J47" s="137" t="s">
        <v>10</v>
      </c>
      <c r="K47" s="137"/>
      <c r="L47" s="137" t="s">
        <v>10</v>
      </c>
      <c r="M47" s="137"/>
      <c r="N47" s="137" t="s">
        <v>10</v>
      </c>
      <c r="O47" s="137"/>
      <c r="P47" s="137" t="s">
        <v>10</v>
      </c>
      <c r="Q47" s="148"/>
      <c r="R47" s="137" t="s">
        <v>10</v>
      </c>
      <c r="S47" s="138"/>
    </row>
    <row r="48" spans="1:19" ht="18.75">
      <c r="A48" s="152"/>
      <c r="B48" s="139" t="str">
        <f>TABELA!H10</f>
        <v>BOGDAN GOVEDARICA</v>
      </c>
      <c r="C48" s="139"/>
      <c r="D48" s="139" t="str">
        <f>TABELA!H11</f>
        <v>MILJAN ANĐIĆ</v>
      </c>
      <c r="E48" s="139"/>
      <c r="F48" s="139" t="str">
        <f>TABELA!H12</f>
        <v>RADULE MIĆOVIĆ</v>
      </c>
      <c r="G48" s="139"/>
      <c r="H48" s="139" t="str">
        <f>TABELA!H13</f>
        <v>OMAR BAŠIĆ</v>
      </c>
      <c r="I48" s="139"/>
      <c r="J48" s="139" t="str">
        <f>TABELA!H14</f>
        <v>BALŠA FUŠTIĆ</v>
      </c>
      <c r="K48" s="139"/>
      <c r="L48" s="139" t="str">
        <f>TABELA!H15</f>
        <v>GORAN OBRENOVIĆ</v>
      </c>
      <c r="M48" s="139"/>
      <c r="N48" s="139" t="str">
        <f>TABELA!H16</f>
        <v>PETAR OBRADOVIĆ</v>
      </c>
      <c r="O48" s="139"/>
      <c r="P48" s="139" t="str">
        <f>TABELA!H17</f>
        <v>MEHMED DŽIDIĆ</v>
      </c>
      <c r="Q48" s="151"/>
      <c r="R48" s="139" t="str">
        <f>TABELA!H18</f>
        <v>ARSO JEREMIĆ</v>
      </c>
      <c r="S48" s="140"/>
    </row>
    <row r="49" spans="1:19">
      <c r="A49" s="152"/>
      <c r="B49" s="25" t="s">
        <v>12</v>
      </c>
      <c r="C49" s="25" t="s">
        <v>13</v>
      </c>
      <c r="D49" s="25" t="s">
        <v>12</v>
      </c>
      <c r="E49" s="25" t="s">
        <v>13</v>
      </c>
      <c r="F49" s="25" t="s">
        <v>12</v>
      </c>
      <c r="G49" s="25" t="s">
        <v>13</v>
      </c>
      <c r="H49" s="25" t="s">
        <v>12</v>
      </c>
      <c r="I49" s="25" t="s">
        <v>13</v>
      </c>
      <c r="J49" s="25" t="s">
        <v>12</v>
      </c>
      <c r="K49" s="25" t="s">
        <v>13</v>
      </c>
      <c r="L49" s="25" t="s">
        <v>12</v>
      </c>
      <c r="M49" s="25" t="s">
        <v>13</v>
      </c>
      <c r="N49" s="25" t="s">
        <v>12</v>
      </c>
      <c r="O49" s="25" t="s">
        <v>13</v>
      </c>
      <c r="P49" s="25" t="s">
        <v>12</v>
      </c>
      <c r="Q49" s="26" t="s">
        <v>13</v>
      </c>
      <c r="R49" s="25" t="s">
        <v>12</v>
      </c>
      <c r="S49" s="27" t="s">
        <v>13</v>
      </c>
    </row>
    <row r="50" spans="1:19">
      <c r="A50" s="28">
        <v>1</v>
      </c>
      <c r="B50" s="25">
        <v>27</v>
      </c>
      <c r="C50" s="25">
        <f>IF(B50,B50*20+100,0)</f>
        <v>640</v>
      </c>
      <c r="D50" s="25">
        <v>21</v>
      </c>
      <c r="E50" s="25">
        <f>IF(D50,D50*20+100,0)</f>
        <v>520</v>
      </c>
      <c r="F50" s="25">
        <v>29</v>
      </c>
      <c r="G50" s="25">
        <f>IF(F50,F50*20+100,0)</f>
        <v>680</v>
      </c>
      <c r="H50" s="25">
        <v>27</v>
      </c>
      <c r="I50" s="25">
        <f>IF(H50,H50*20+100,0)</f>
        <v>640</v>
      </c>
      <c r="J50" s="25">
        <v>37</v>
      </c>
      <c r="K50" s="25">
        <f>IF(J50,J50*20+100,0)</f>
        <v>840</v>
      </c>
      <c r="L50" s="25">
        <v>32</v>
      </c>
      <c r="M50" s="25">
        <f>IF(L50,L50*20+100,0)</f>
        <v>740</v>
      </c>
      <c r="N50" s="25">
        <v>35</v>
      </c>
      <c r="O50" s="25">
        <f>IF(N50,N50*20+100,0)</f>
        <v>800</v>
      </c>
      <c r="P50" s="25">
        <v>28</v>
      </c>
      <c r="Q50" s="26">
        <f>IF(P50,P50*20+100,0)</f>
        <v>660</v>
      </c>
      <c r="R50" s="25">
        <v>33</v>
      </c>
      <c r="S50" s="27">
        <f>IF(R50,R50*20+100,0)</f>
        <v>760</v>
      </c>
    </row>
    <row r="51" spans="1:19">
      <c r="A51" s="28">
        <v>2</v>
      </c>
      <c r="B51" s="25">
        <v>21</v>
      </c>
      <c r="C51" s="25">
        <f t="shared" ref="C51:C79" si="33">IF(B51,B51*20+100,0)</f>
        <v>520</v>
      </c>
      <c r="D51" s="25"/>
      <c r="E51" s="25">
        <f t="shared" ref="E51:E79" si="34">IF(D51,D51*20+100,0)</f>
        <v>0</v>
      </c>
      <c r="F51" s="25">
        <v>22</v>
      </c>
      <c r="G51" s="25">
        <f t="shared" ref="G51:G79" si="35">IF(F51,F51*20+100,0)</f>
        <v>540</v>
      </c>
      <c r="H51" s="25">
        <v>30</v>
      </c>
      <c r="I51" s="25">
        <f t="shared" ref="I51:I79" si="36">IF(H51,H51*20+100,0)</f>
        <v>700</v>
      </c>
      <c r="J51" s="25">
        <v>30</v>
      </c>
      <c r="K51" s="25">
        <f t="shared" ref="K51:K79" si="37">IF(J51,J51*20+100,0)</f>
        <v>700</v>
      </c>
      <c r="L51" s="25">
        <v>30</v>
      </c>
      <c r="M51" s="25">
        <f t="shared" ref="M51:M79" si="38">IF(L51,L51*20+100,0)</f>
        <v>700</v>
      </c>
      <c r="N51" s="25">
        <v>28</v>
      </c>
      <c r="O51" s="25">
        <f t="shared" ref="O51:O79" si="39">IF(N51,N51*20+100,0)</f>
        <v>660</v>
      </c>
      <c r="P51" s="25">
        <v>24</v>
      </c>
      <c r="Q51" s="26">
        <f t="shared" ref="Q51:Q79" si="40">IF(P51,P51*20+100,0)</f>
        <v>580</v>
      </c>
      <c r="R51" s="25"/>
      <c r="S51" s="27">
        <f t="shared" ref="S51:S79" si="41">IF(R51,R51*20+100,0)</f>
        <v>0</v>
      </c>
    </row>
    <row r="52" spans="1:19">
      <c r="A52" s="28">
        <v>3</v>
      </c>
      <c r="B52" s="25">
        <v>26</v>
      </c>
      <c r="C52" s="25">
        <f t="shared" si="33"/>
        <v>620</v>
      </c>
      <c r="D52" s="25"/>
      <c r="E52" s="25">
        <f t="shared" si="34"/>
        <v>0</v>
      </c>
      <c r="F52" s="25">
        <v>29</v>
      </c>
      <c r="G52" s="25">
        <f t="shared" si="35"/>
        <v>680</v>
      </c>
      <c r="H52" s="25"/>
      <c r="I52" s="25">
        <f t="shared" si="36"/>
        <v>0</v>
      </c>
      <c r="J52" s="25">
        <v>28</v>
      </c>
      <c r="K52" s="25">
        <f t="shared" si="37"/>
        <v>660</v>
      </c>
      <c r="L52" s="25"/>
      <c r="M52" s="25">
        <f t="shared" si="38"/>
        <v>0</v>
      </c>
      <c r="N52" s="25">
        <v>27</v>
      </c>
      <c r="O52" s="25">
        <f t="shared" si="39"/>
        <v>640</v>
      </c>
      <c r="P52" s="25">
        <v>28</v>
      </c>
      <c r="Q52" s="26">
        <f t="shared" si="40"/>
        <v>660</v>
      </c>
      <c r="R52" s="25"/>
      <c r="S52" s="27">
        <f t="shared" si="41"/>
        <v>0</v>
      </c>
    </row>
    <row r="53" spans="1:19">
      <c r="A53" s="28">
        <v>4</v>
      </c>
      <c r="B53" s="25"/>
      <c r="C53" s="25">
        <f t="shared" si="33"/>
        <v>0</v>
      </c>
      <c r="D53" s="25"/>
      <c r="E53" s="25">
        <f t="shared" si="34"/>
        <v>0</v>
      </c>
      <c r="F53" s="25"/>
      <c r="G53" s="25">
        <f t="shared" si="35"/>
        <v>0</v>
      </c>
      <c r="H53" s="25"/>
      <c r="I53" s="25">
        <f t="shared" si="36"/>
        <v>0</v>
      </c>
      <c r="J53" s="25"/>
      <c r="K53" s="25">
        <f t="shared" si="37"/>
        <v>0</v>
      </c>
      <c r="L53" s="25"/>
      <c r="M53" s="25">
        <f t="shared" si="38"/>
        <v>0</v>
      </c>
      <c r="N53" s="25">
        <v>29</v>
      </c>
      <c r="O53" s="25">
        <f t="shared" si="39"/>
        <v>680</v>
      </c>
      <c r="P53" s="25">
        <v>27</v>
      </c>
      <c r="Q53" s="26">
        <f t="shared" si="40"/>
        <v>640</v>
      </c>
      <c r="R53" s="25"/>
      <c r="S53" s="27">
        <f t="shared" si="41"/>
        <v>0</v>
      </c>
    </row>
    <row r="54" spans="1:19">
      <c r="A54" s="28">
        <v>5</v>
      </c>
      <c r="B54" s="25"/>
      <c r="C54" s="25">
        <f t="shared" si="33"/>
        <v>0</v>
      </c>
      <c r="D54" s="25"/>
      <c r="E54" s="25">
        <f t="shared" si="34"/>
        <v>0</v>
      </c>
      <c r="F54" s="25"/>
      <c r="G54" s="25">
        <f t="shared" si="35"/>
        <v>0</v>
      </c>
      <c r="H54" s="25"/>
      <c r="I54" s="25">
        <f t="shared" si="36"/>
        <v>0</v>
      </c>
      <c r="J54" s="25"/>
      <c r="K54" s="25">
        <f t="shared" si="37"/>
        <v>0</v>
      </c>
      <c r="L54" s="25"/>
      <c r="M54" s="25">
        <f t="shared" si="38"/>
        <v>0</v>
      </c>
      <c r="N54" s="25">
        <v>32</v>
      </c>
      <c r="O54" s="25">
        <f t="shared" si="39"/>
        <v>740</v>
      </c>
      <c r="P54" s="25"/>
      <c r="Q54" s="26">
        <f t="shared" si="40"/>
        <v>0</v>
      </c>
      <c r="R54" s="25"/>
      <c r="S54" s="27">
        <f t="shared" si="41"/>
        <v>0</v>
      </c>
    </row>
    <row r="55" spans="1:19">
      <c r="A55" s="28">
        <v>6</v>
      </c>
      <c r="B55" s="25"/>
      <c r="C55" s="25">
        <f t="shared" si="33"/>
        <v>0</v>
      </c>
      <c r="D55" s="25"/>
      <c r="E55" s="25">
        <f t="shared" si="34"/>
        <v>0</v>
      </c>
      <c r="F55" s="25"/>
      <c r="G55" s="25">
        <f t="shared" si="35"/>
        <v>0</v>
      </c>
      <c r="H55" s="25"/>
      <c r="I55" s="25">
        <f t="shared" si="36"/>
        <v>0</v>
      </c>
      <c r="J55" s="25"/>
      <c r="K55" s="25">
        <f t="shared" si="37"/>
        <v>0</v>
      </c>
      <c r="L55" s="25"/>
      <c r="M55" s="25">
        <f t="shared" si="38"/>
        <v>0</v>
      </c>
      <c r="N55" s="25"/>
      <c r="O55" s="25">
        <f t="shared" si="39"/>
        <v>0</v>
      </c>
      <c r="P55" s="25"/>
      <c r="Q55" s="26">
        <f t="shared" si="40"/>
        <v>0</v>
      </c>
      <c r="R55" s="25"/>
      <c r="S55" s="27">
        <f t="shared" si="41"/>
        <v>0</v>
      </c>
    </row>
    <row r="56" spans="1:19">
      <c r="A56" s="28">
        <v>7</v>
      </c>
      <c r="B56" s="25"/>
      <c r="C56" s="25">
        <f t="shared" si="33"/>
        <v>0</v>
      </c>
      <c r="D56" s="25"/>
      <c r="E56" s="25">
        <f t="shared" si="34"/>
        <v>0</v>
      </c>
      <c r="F56" s="25"/>
      <c r="G56" s="25">
        <f t="shared" si="35"/>
        <v>0</v>
      </c>
      <c r="H56" s="25"/>
      <c r="I56" s="25">
        <f t="shared" si="36"/>
        <v>0</v>
      </c>
      <c r="J56" s="25"/>
      <c r="K56" s="25">
        <f t="shared" si="37"/>
        <v>0</v>
      </c>
      <c r="L56" s="25"/>
      <c r="M56" s="25">
        <f t="shared" si="38"/>
        <v>0</v>
      </c>
      <c r="N56" s="25"/>
      <c r="O56" s="25">
        <f t="shared" si="39"/>
        <v>0</v>
      </c>
      <c r="P56" s="25"/>
      <c r="Q56" s="26">
        <f t="shared" si="40"/>
        <v>0</v>
      </c>
      <c r="R56" s="25"/>
      <c r="S56" s="27">
        <f t="shared" si="41"/>
        <v>0</v>
      </c>
    </row>
    <row r="57" spans="1:19">
      <c r="A57" s="28">
        <v>8</v>
      </c>
      <c r="B57" s="25"/>
      <c r="C57" s="25">
        <f t="shared" si="33"/>
        <v>0</v>
      </c>
      <c r="D57" s="25"/>
      <c r="E57" s="25">
        <f t="shared" si="34"/>
        <v>0</v>
      </c>
      <c r="F57" s="25"/>
      <c r="G57" s="25">
        <f t="shared" si="35"/>
        <v>0</v>
      </c>
      <c r="H57" s="25"/>
      <c r="I57" s="25">
        <f t="shared" si="36"/>
        <v>0</v>
      </c>
      <c r="J57" s="25"/>
      <c r="K57" s="25">
        <f t="shared" si="37"/>
        <v>0</v>
      </c>
      <c r="L57" s="25"/>
      <c r="M57" s="25">
        <f t="shared" si="38"/>
        <v>0</v>
      </c>
      <c r="N57" s="25"/>
      <c r="O57" s="25">
        <f t="shared" si="39"/>
        <v>0</v>
      </c>
      <c r="P57" s="25"/>
      <c r="Q57" s="26">
        <f t="shared" si="40"/>
        <v>0</v>
      </c>
      <c r="R57" s="25"/>
      <c r="S57" s="27">
        <f t="shared" si="41"/>
        <v>0</v>
      </c>
    </row>
    <row r="58" spans="1:19">
      <c r="A58" s="28">
        <v>9</v>
      </c>
      <c r="B58" s="25"/>
      <c r="C58" s="25">
        <f t="shared" si="33"/>
        <v>0</v>
      </c>
      <c r="D58" s="25"/>
      <c r="E58" s="25">
        <f t="shared" si="34"/>
        <v>0</v>
      </c>
      <c r="F58" s="25"/>
      <c r="G58" s="25">
        <f t="shared" si="35"/>
        <v>0</v>
      </c>
      <c r="H58" s="25"/>
      <c r="I58" s="25">
        <f t="shared" si="36"/>
        <v>0</v>
      </c>
      <c r="J58" s="25"/>
      <c r="K58" s="25">
        <f t="shared" si="37"/>
        <v>0</v>
      </c>
      <c r="L58" s="25"/>
      <c r="M58" s="25">
        <f t="shared" si="38"/>
        <v>0</v>
      </c>
      <c r="N58" s="25"/>
      <c r="O58" s="25">
        <f t="shared" si="39"/>
        <v>0</v>
      </c>
      <c r="P58" s="25"/>
      <c r="Q58" s="26">
        <f t="shared" si="40"/>
        <v>0</v>
      </c>
      <c r="R58" s="25"/>
      <c r="S58" s="27">
        <f t="shared" si="41"/>
        <v>0</v>
      </c>
    </row>
    <row r="59" spans="1:19">
      <c r="A59" s="28">
        <v>10</v>
      </c>
      <c r="B59" s="25"/>
      <c r="C59" s="25">
        <f t="shared" si="33"/>
        <v>0</v>
      </c>
      <c r="D59" s="25"/>
      <c r="E59" s="25">
        <f t="shared" si="34"/>
        <v>0</v>
      </c>
      <c r="F59" s="25"/>
      <c r="G59" s="25">
        <f t="shared" si="35"/>
        <v>0</v>
      </c>
      <c r="H59" s="25"/>
      <c r="I59" s="25">
        <f t="shared" si="36"/>
        <v>0</v>
      </c>
      <c r="J59" s="25"/>
      <c r="K59" s="25">
        <f t="shared" si="37"/>
        <v>0</v>
      </c>
      <c r="L59" s="25"/>
      <c r="M59" s="25">
        <f t="shared" si="38"/>
        <v>0</v>
      </c>
      <c r="N59" s="25"/>
      <c r="O59" s="25">
        <f t="shared" si="39"/>
        <v>0</v>
      </c>
      <c r="P59" s="25"/>
      <c r="Q59" s="26">
        <f t="shared" si="40"/>
        <v>0</v>
      </c>
      <c r="R59" s="25"/>
      <c r="S59" s="27">
        <f t="shared" si="41"/>
        <v>0</v>
      </c>
    </row>
    <row r="60" spans="1:19">
      <c r="A60" s="28">
        <v>11</v>
      </c>
      <c r="B60" s="25"/>
      <c r="C60" s="25">
        <f t="shared" si="33"/>
        <v>0</v>
      </c>
      <c r="D60" s="25"/>
      <c r="E60" s="25">
        <f t="shared" si="34"/>
        <v>0</v>
      </c>
      <c r="F60" s="25"/>
      <c r="G60" s="25">
        <f t="shared" si="35"/>
        <v>0</v>
      </c>
      <c r="H60" s="25"/>
      <c r="I60" s="25">
        <f t="shared" si="36"/>
        <v>0</v>
      </c>
      <c r="J60" s="25"/>
      <c r="K60" s="25">
        <f t="shared" si="37"/>
        <v>0</v>
      </c>
      <c r="L60" s="25"/>
      <c r="M60" s="25">
        <f t="shared" si="38"/>
        <v>0</v>
      </c>
      <c r="N60" s="25"/>
      <c r="O60" s="25">
        <f t="shared" si="39"/>
        <v>0</v>
      </c>
      <c r="P60" s="25"/>
      <c r="Q60" s="26">
        <f t="shared" si="40"/>
        <v>0</v>
      </c>
      <c r="R60" s="25"/>
      <c r="S60" s="27">
        <f t="shared" si="41"/>
        <v>0</v>
      </c>
    </row>
    <row r="61" spans="1:19">
      <c r="A61" s="28">
        <v>12</v>
      </c>
      <c r="B61" s="25"/>
      <c r="C61" s="25">
        <f t="shared" si="33"/>
        <v>0</v>
      </c>
      <c r="D61" s="25"/>
      <c r="E61" s="25">
        <f t="shared" si="34"/>
        <v>0</v>
      </c>
      <c r="F61" s="25"/>
      <c r="G61" s="25">
        <f t="shared" si="35"/>
        <v>0</v>
      </c>
      <c r="H61" s="25"/>
      <c r="I61" s="25">
        <f t="shared" si="36"/>
        <v>0</v>
      </c>
      <c r="J61" s="25"/>
      <c r="K61" s="25">
        <f t="shared" si="37"/>
        <v>0</v>
      </c>
      <c r="L61" s="25"/>
      <c r="M61" s="25">
        <f t="shared" si="38"/>
        <v>0</v>
      </c>
      <c r="N61" s="25"/>
      <c r="O61" s="25">
        <f t="shared" si="39"/>
        <v>0</v>
      </c>
      <c r="P61" s="25"/>
      <c r="Q61" s="26">
        <f t="shared" si="40"/>
        <v>0</v>
      </c>
      <c r="R61" s="25"/>
      <c r="S61" s="27">
        <f t="shared" si="41"/>
        <v>0</v>
      </c>
    </row>
    <row r="62" spans="1:19">
      <c r="A62" s="28">
        <v>13</v>
      </c>
      <c r="B62" s="25"/>
      <c r="C62" s="25">
        <f t="shared" si="33"/>
        <v>0</v>
      </c>
      <c r="D62" s="25"/>
      <c r="E62" s="25">
        <f t="shared" si="34"/>
        <v>0</v>
      </c>
      <c r="F62" s="25"/>
      <c r="G62" s="25">
        <f t="shared" si="35"/>
        <v>0</v>
      </c>
      <c r="H62" s="25"/>
      <c r="I62" s="25">
        <f t="shared" si="36"/>
        <v>0</v>
      </c>
      <c r="J62" s="25"/>
      <c r="K62" s="25">
        <f t="shared" si="37"/>
        <v>0</v>
      </c>
      <c r="L62" s="25"/>
      <c r="M62" s="25">
        <f t="shared" si="38"/>
        <v>0</v>
      </c>
      <c r="N62" s="25"/>
      <c r="O62" s="25">
        <f t="shared" si="39"/>
        <v>0</v>
      </c>
      <c r="P62" s="25"/>
      <c r="Q62" s="26">
        <f t="shared" si="40"/>
        <v>0</v>
      </c>
      <c r="R62" s="25"/>
      <c r="S62" s="27">
        <f t="shared" si="41"/>
        <v>0</v>
      </c>
    </row>
    <row r="63" spans="1:19">
      <c r="A63" s="28">
        <v>14</v>
      </c>
      <c r="B63" s="25"/>
      <c r="C63" s="25">
        <f t="shared" si="33"/>
        <v>0</v>
      </c>
      <c r="D63" s="25"/>
      <c r="E63" s="25">
        <f t="shared" si="34"/>
        <v>0</v>
      </c>
      <c r="F63" s="25"/>
      <c r="G63" s="25">
        <f t="shared" si="35"/>
        <v>0</v>
      </c>
      <c r="H63" s="25"/>
      <c r="I63" s="25">
        <f t="shared" si="36"/>
        <v>0</v>
      </c>
      <c r="J63" s="25"/>
      <c r="K63" s="25">
        <f t="shared" si="37"/>
        <v>0</v>
      </c>
      <c r="L63" s="25"/>
      <c r="M63" s="25">
        <f t="shared" si="38"/>
        <v>0</v>
      </c>
      <c r="N63" s="25"/>
      <c r="O63" s="25">
        <f t="shared" si="39"/>
        <v>0</v>
      </c>
      <c r="P63" s="25"/>
      <c r="Q63" s="26">
        <f t="shared" si="40"/>
        <v>0</v>
      </c>
      <c r="R63" s="25"/>
      <c r="S63" s="27">
        <f t="shared" si="41"/>
        <v>0</v>
      </c>
    </row>
    <row r="64" spans="1:19">
      <c r="A64" s="28">
        <v>15</v>
      </c>
      <c r="B64" s="25"/>
      <c r="C64" s="25">
        <f t="shared" si="33"/>
        <v>0</v>
      </c>
      <c r="D64" s="25"/>
      <c r="E64" s="25">
        <f t="shared" si="34"/>
        <v>0</v>
      </c>
      <c r="F64" s="25"/>
      <c r="G64" s="25">
        <f t="shared" si="35"/>
        <v>0</v>
      </c>
      <c r="H64" s="25"/>
      <c r="I64" s="25">
        <f t="shared" si="36"/>
        <v>0</v>
      </c>
      <c r="J64" s="25"/>
      <c r="K64" s="25">
        <f t="shared" si="37"/>
        <v>0</v>
      </c>
      <c r="L64" s="25"/>
      <c r="M64" s="25">
        <f t="shared" si="38"/>
        <v>0</v>
      </c>
      <c r="N64" s="25"/>
      <c r="O64" s="25">
        <f t="shared" si="39"/>
        <v>0</v>
      </c>
      <c r="P64" s="25"/>
      <c r="Q64" s="26">
        <f t="shared" si="40"/>
        <v>0</v>
      </c>
      <c r="R64" s="25"/>
      <c r="S64" s="27">
        <f t="shared" si="41"/>
        <v>0</v>
      </c>
    </row>
    <row r="65" spans="1:19">
      <c r="A65" s="28">
        <v>16</v>
      </c>
      <c r="B65" s="25"/>
      <c r="C65" s="25">
        <f t="shared" si="33"/>
        <v>0</v>
      </c>
      <c r="D65" s="25"/>
      <c r="E65" s="25">
        <f t="shared" si="34"/>
        <v>0</v>
      </c>
      <c r="F65" s="25"/>
      <c r="G65" s="25">
        <f t="shared" si="35"/>
        <v>0</v>
      </c>
      <c r="H65" s="25"/>
      <c r="I65" s="25">
        <f t="shared" si="36"/>
        <v>0</v>
      </c>
      <c r="J65" s="25"/>
      <c r="K65" s="25">
        <f t="shared" si="37"/>
        <v>0</v>
      </c>
      <c r="L65" s="25"/>
      <c r="M65" s="25">
        <f t="shared" si="38"/>
        <v>0</v>
      </c>
      <c r="N65" s="25"/>
      <c r="O65" s="25">
        <f t="shared" si="39"/>
        <v>0</v>
      </c>
      <c r="P65" s="25"/>
      <c r="Q65" s="26">
        <f t="shared" si="40"/>
        <v>0</v>
      </c>
      <c r="R65" s="25"/>
      <c r="S65" s="27">
        <f t="shared" si="41"/>
        <v>0</v>
      </c>
    </row>
    <row r="66" spans="1:19">
      <c r="A66" s="28">
        <v>17</v>
      </c>
      <c r="B66" s="25"/>
      <c r="C66" s="25">
        <f t="shared" si="33"/>
        <v>0</v>
      </c>
      <c r="D66" s="25"/>
      <c r="E66" s="25">
        <f t="shared" si="34"/>
        <v>0</v>
      </c>
      <c r="F66" s="25"/>
      <c r="G66" s="25">
        <f t="shared" si="35"/>
        <v>0</v>
      </c>
      <c r="H66" s="25"/>
      <c r="I66" s="25">
        <f t="shared" si="36"/>
        <v>0</v>
      </c>
      <c r="J66" s="25"/>
      <c r="K66" s="25">
        <f t="shared" si="37"/>
        <v>0</v>
      </c>
      <c r="L66" s="25"/>
      <c r="M66" s="25">
        <f t="shared" si="38"/>
        <v>0</v>
      </c>
      <c r="N66" s="25"/>
      <c r="O66" s="25">
        <f t="shared" si="39"/>
        <v>0</v>
      </c>
      <c r="P66" s="25"/>
      <c r="Q66" s="26">
        <f t="shared" si="40"/>
        <v>0</v>
      </c>
      <c r="R66" s="25"/>
      <c r="S66" s="27">
        <f t="shared" si="41"/>
        <v>0</v>
      </c>
    </row>
    <row r="67" spans="1:19">
      <c r="A67" s="28">
        <v>18</v>
      </c>
      <c r="B67" s="25"/>
      <c r="C67" s="25">
        <f t="shared" si="33"/>
        <v>0</v>
      </c>
      <c r="D67" s="25"/>
      <c r="E67" s="25">
        <f t="shared" si="34"/>
        <v>0</v>
      </c>
      <c r="F67" s="25"/>
      <c r="G67" s="25">
        <f t="shared" si="35"/>
        <v>0</v>
      </c>
      <c r="H67" s="25"/>
      <c r="I67" s="25">
        <f t="shared" si="36"/>
        <v>0</v>
      </c>
      <c r="J67" s="25"/>
      <c r="K67" s="25">
        <f t="shared" si="37"/>
        <v>0</v>
      </c>
      <c r="L67" s="25"/>
      <c r="M67" s="25">
        <f t="shared" si="38"/>
        <v>0</v>
      </c>
      <c r="N67" s="25"/>
      <c r="O67" s="25">
        <f t="shared" si="39"/>
        <v>0</v>
      </c>
      <c r="P67" s="25"/>
      <c r="Q67" s="26">
        <f t="shared" si="40"/>
        <v>0</v>
      </c>
      <c r="R67" s="25"/>
      <c r="S67" s="27">
        <f t="shared" si="41"/>
        <v>0</v>
      </c>
    </row>
    <row r="68" spans="1:19">
      <c r="A68" s="28">
        <v>19</v>
      </c>
      <c r="B68" s="25"/>
      <c r="C68" s="25">
        <f t="shared" si="33"/>
        <v>0</v>
      </c>
      <c r="D68" s="25"/>
      <c r="E68" s="25">
        <f t="shared" si="34"/>
        <v>0</v>
      </c>
      <c r="F68" s="25"/>
      <c r="G68" s="25">
        <f t="shared" si="35"/>
        <v>0</v>
      </c>
      <c r="H68" s="25"/>
      <c r="I68" s="25">
        <f t="shared" si="36"/>
        <v>0</v>
      </c>
      <c r="J68" s="25"/>
      <c r="K68" s="25">
        <f t="shared" si="37"/>
        <v>0</v>
      </c>
      <c r="L68" s="25"/>
      <c r="M68" s="25">
        <f t="shared" si="38"/>
        <v>0</v>
      </c>
      <c r="N68" s="25"/>
      <c r="O68" s="25">
        <f t="shared" si="39"/>
        <v>0</v>
      </c>
      <c r="P68" s="25"/>
      <c r="Q68" s="26">
        <f t="shared" si="40"/>
        <v>0</v>
      </c>
      <c r="R68" s="25"/>
      <c r="S68" s="27">
        <f t="shared" si="41"/>
        <v>0</v>
      </c>
    </row>
    <row r="69" spans="1:19">
      <c r="A69" s="28">
        <v>20</v>
      </c>
      <c r="B69" s="25"/>
      <c r="C69" s="25">
        <f t="shared" si="33"/>
        <v>0</v>
      </c>
      <c r="D69" s="25"/>
      <c r="E69" s="25">
        <f t="shared" si="34"/>
        <v>0</v>
      </c>
      <c r="F69" s="25"/>
      <c r="G69" s="25">
        <f t="shared" si="35"/>
        <v>0</v>
      </c>
      <c r="H69" s="25"/>
      <c r="I69" s="25">
        <f t="shared" si="36"/>
        <v>0</v>
      </c>
      <c r="J69" s="25"/>
      <c r="K69" s="25">
        <f t="shared" si="37"/>
        <v>0</v>
      </c>
      <c r="L69" s="25"/>
      <c r="M69" s="25">
        <f t="shared" si="38"/>
        <v>0</v>
      </c>
      <c r="N69" s="25"/>
      <c r="O69" s="25">
        <f t="shared" si="39"/>
        <v>0</v>
      </c>
      <c r="P69" s="25"/>
      <c r="Q69" s="26">
        <f t="shared" si="40"/>
        <v>0</v>
      </c>
      <c r="R69" s="25"/>
      <c r="S69" s="27">
        <f t="shared" si="41"/>
        <v>0</v>
      </c>
    </row>
    <row r="70" spans="1:19">
      <c r="A70" s="28">
        <v>21</v>
      </c>
      <c r="B70" s="25"/>
      <c r="C70" s="25">
        <f t="shared" si="33"/>
        <v>0</v>
      </c>
      <c r="D70" s="25"/>
      <c r="E70" s="25">
        <f t="shared" si="34"/>
        <v>0</v>
      </c>
      <c r="F70" s="25"/>
      <c r="G70" s="25">
        <f t="shared" si="35"/>
        <v>0</v>
      </c>
      <c r="H70" s="25"/>
      <c r="I70" s="25">
        <f t="shared" si="36"/>
        <v>0</v>
      </c>
      <c r="J70" s="25"/>
      <c r="K70" s="25">
        <f t="shared" si="37"/>
        <v>0</v>
      </c>
      <c r="L70" s="25"/>
      <c r="M70" s="25">
        <f t="shared" si="38"/>
        <v>0</v>
      </c>
      <c r="N70" s="25"/>
      <c r="O70" s="25">
        <f t="shared" si="39"/>
        <v>0</v>
      </c>
      <c r="P70" s="25"/>
      <c r="Q70" s="26">
        <f t="shared" si="40"/>
        <v>0</v>
      </c>
      <c r="R70" s="25"/>
      <c r="S70" s="27">
        <f t="shared" si="41"/>
        <v>0</v>
      </c>
    </row>
    <row r="71" spans="1:19">
      <c r="A71" s="28">
        <v>22</v>
      </c>
      <c r="B71" s="25"/>
      <c r="C71" s="25">
        <f t="shared" si="33"/>
        <v>0</v>
      </c>
      <c r="D71" s="25"/>
      <c r="E71" s="25">
        <f t="shared" si="34"/>
        <v>0</v>
      </c>
      <c r="F71" s="25"/>
      <c r="G71" s="25">
        <f t="shared" si="35"/>
        <v>0</v>
      </c>
      <c r="H71" s="25"/>
      <c r="I71" s="25">
        <f t="shared" si="36"/>
        <v>0</v>
      </c>
      <c r="J71" s="25"/>
      <c r="K71" s="25">
        <f t="shared" si="37"/>
        <v>0</v>
      </c>
      <c r="L71" s="25"/>
      <c r="M71" s="25">
        <f t="shared" si="38"/>
        <v>0</v>
      </c>
      <c r="N71" s="25"/>
      <c r="O71" s="25">
        <f t="shared" si="39"/>
        <v>0</v>
      </c>
      <c r="P71" s="25"/>
      <c r="Q71" s="26">
        <f t="shared" si="40"/>
        <v>0</v>
      </c>
      <c r="R71" s="25"/>
      <c r="S71" s="27">
        <f t="shared" si="41"/>
        <v>0</v>
      </c>
    </row>
    <row r="72" spans="1:19">
      <c r="A72" s="28">
        <v>23</v>
      </c>
      <c r="B72" s="25"/>
      <c r="C72" s="25">
        <f t="shared" si="33"/>
        <v>0</v>
      </c>
      <c r="D72" s="25"/>
      <c r="E72" s="25">
        <f t="shared" si="34"/>
        <v>0</v>
      </c>
      <c r="F72" s="25"/>
      <c r="G72" s="25">
        <f t="shared" si="35"/>
        <v>0</v>
      </c>
      <c r="H72" s="25"/>
      <c r="I72" s="25">
        <f t="shared" si="36"/>
        <v>0</v>
      </c>
      <c r="J72" s="25"/>
      <c r="K72" s="25">
        <f t="shared" si="37"/>
        <v>0</v>
      </c>
      <c r="L72" s="25"/>
      <c r="M72" s="25">
        <f t="shared" si="38"/>
        <v>0</v>
      </c>
      <c r="N72" s="25"/>
      <c r="O72" s="25">
        <f t="shared" si="39"/>
        <v>0</v>
      </c>
      <c r="P72" s="25"/>
      <c r="Q72" s="26">
        <f t="shared" si="40"/>
        <v>0</v>
      </c>
      <c r="R72" s="25"/>
      <c r="S72" s="27">
        <f t="shared" si="41"/>
        <v>0</v>
      </c>
    </row>
    <row r="73" spans="1:19">
      <c r="A73" s="28">
        <v>24</v>
      </c>
      <c r="B73" s="25"/>
      <c r="C73" s="25">
        <f t="shared" si="33"/>
        <v>0</v>
      </c>
      <c r="D73" s="25"/>
      <c r="E73" s="25">
        <f t="shared" si="34"/>
        <v>0</v>
      </c>
      <c r="F73" s="25"/>
      <c r="G73" s="25">
        <f t="shared" si="35"/>
        <v>0</v>
      </c>
      <c r="H73" s="25"/>
      <c r="I73" s="25">
        <f t="shared" si="36"/>
        <v>0</v>
      </c>
      <c r="J73" s="25"/>
      <c r="K73" s="25">
        <f t="shared" si="37"/>
        <v>0</v>
      </c>
      <c r="L73" s="25"/>
      <c r="M73" s="25">
        <f t="shared" si="38"/>
        <v>0</v>
      </c>
      <c r="N73" s="25"/>
      <c r="O73" s="25">
        <f t="shared" si="39"/>
        <v>0</v>
      </c>
      <c r="P73" s="25"/>
      <c r="Q73" s="26">
        <f t="shared" si="40"/>
        <v>0</v>
      </c>
      <c r="R73" s="25"/>
      <c r="S73" s="27">
        <f t="shared" si="41"/>
        <v>0</v>
      </c>
    </row>
    <row r="74" spans="1:19">
      <c r="A74" s="28">
        <v>25</v>
      </c>
      <c r="B74" s="25"/>
      <c r="C74" s="25">
        <f t="shared" si="33"/>
        <v>0</v>
      </c>
      <c r="D74" s="25"/>
      <c r="E74" s="25">
        <f t="shared" si="34"/>
        <v>0</v>
      </c>
      <c r="F74" s="25"/>
      <c r="G74" s="25">
        <f t="shared" si="35"/>
        <v>0</v>
      </c>
      <c r="H74" s="25"/>
      <c r="I74" s="25">
        <f t="shared" si="36"/>
        <v>0</v>
      </c>
      <c r="J74" s="25"/>
      <c r="K74" s="25">
        <f t="shared" si="37"/>
        <v>0</v>
      </c>
      <c r="L74" s="25"/>
      <c r="M74" s="25">
        <f t="shared" si="38"/>
        <v>0</v>
      </c>
      <c r="N74" s="25"/>
      <c r="O74" s="25">
        <f t="shared" si="39"/>
        <v>0</v>
      </c>
      <c r="P74" s="25"/>
      <c r="Q74" s="26">
        <f t="shared" si="40"/>
        <v>0</v>
      </c>
      <c r="R74" s="25"/>
      <c r="S74" s="27">
        <f t="shared" si="41"/>
        <v>0</v>
      </c>
    </row>
    <row r="75" spans="1:19">
      <c r="A75" s="28">
        <v>26</v>
      </c>
      <c r="B75" s="25"/>
      <c r="C75" s="25">
        <f t="shared" si="33"/>
        <v>0</v>
      </c>
      <c r="D75" s="25"/>
      <c r="E75" s="25">
        <f t="shared" si="34"/>
        <v>0</v>
      </c>
      <c r="F75" s="25"/>
      <c r="G75" s="25">
        <f t="shared" si="35"/>
        <v>0</v>
      </c>
      <c r="H75" s="25"/>
      <c r="I75" s="25">
        <f t="shared" si="36"/>
        <v>0</v>
      </c>
      <c r="J75" s="25"/>
      <c r="K75" s="25">
        <f t="shared" si="37"/>
        <v>0</v>
      </c>
      <c r="L75" s="25"/>
      <c r="M75" s="25">
        <f t="shared" si="38"/>
        <v>0</v>
      </c>
      <c r="N75" s="25"/>
      <c r="O75" s="25">
        <f t="shared" si="39"/>
        <v>0</v>
      </c>
      <c r="P75" s="25"/>
      <c r="Q75" s="26">
        <f t="shared" si="40"/>
        <v>0</v>
      </c>
      <c r="R75" s="25"/>
      <c r="S75" s="27">
        <f t="shared" si="41"/>
        <v>0</v>
      </c>
    </row>
    <row r="76" spans="1:19">
      <c r="A76" s="28">
        <v>27</v>
      </c>
      <c r="B76" s="25"/>
      <c r="C76" s="25">
        <f t="shared" si="33"/>
        <v>0</v>
      </c>
      <c r="D76" s="25"/>
      <c r="E76" s="25">
        <f t="shared" si="34"/>
        <v>0</v>
      </c>
      <c r="F76" s="25"/>
      <c r="G76" s="25">
        <f t="shared" si="35"/>
        <v>0</v>
      </c>
      <c r="H76" s="25"/>
      <c r="I76" s="25">
        <f t="shared" si="36"/>
        <v>0</v>
      </c>
      <c r="J76" s="25"/>
      <c r="K76" s="25">
        <f t="shared" si="37"/>
        <v>0</v>
      </c>
      <c r="L76" s="25"/>
      <c r="M76" s="25">
        <f t="shared" si="38"/>
        <v>0</v>
      </c>
      <c r="N76" s="25"/>
      <c r="O76" s="25">
        <f t="shared" si="39"/>
        <v>0</v>
      </c>
      <c r="P76" s="25"/>
      <c r="Q76" s="26">
        <f t="shared" si="40"/>
        <v>0</v>
      </c>
      <c r="R76" s="25"/>
      <c r="S76" s="27">
        <f t="shared" si="41"/>
        <v>0</v>
      </c>
    </row>
    <row r="77" spans="1:19">
      <c r="A77" s="28">
        <v>28</v>
      </c>
      <c r="B77" s="25"/>
      <c r="C77" s="25">
        <f t="shared" si="33"/>
        <v>0</v>
      </c>
      <c r="D77" s="25"/>
      <c r="E77" s="25">
        <f t="shared" si="34"/>
        <v>0</v>
      </c>
      <c r="F77" s="25"/>
      <c r="G77" s="25">
        <f t="shared" si="35"/>
        <v>0</v>
      </c>
      <c r="H77" s="25"/>
      <c r="I77" s="25">
        <f t="shared" si="36"/>
        <v>0</v>
      </c>
      <c r="J77" s="25"/>
      <c r="K77" s="25">
        <f t="shared" si="37"/>
        <v>0</v>
      </c>
      <c r="L77" s="25"/>
      <c r="M77" s="25">
        <f t="shared" si="38"/>
        <v>0</v>
      </c>
      <c r="N77" s="25"/>
      <c r="O77" s="25">
        <f t="shared" si="39"/>
        <v>0</v>
      </c>
      <c r="P77" s="25"/>
      <c r="Q77" s="26">
        <f t="shared" si="40"/>
        <v>0</v>
      </c>
      <c r="R77" s="25"/>
      <c r="S77" s="27">
        <f t="shared" si="41"/>
        <v>0</v>
      </c>
    </row>
    <row r="78" spans="1:19">
      <c r="A78" s="28">
        <v>29</v>
      </c>
      <c r="B78" s="25"/>
      <c r="C78" s="25">
        <f t="shared" si="33"/>
        <v>0</v>
      </c>
      <c r="D78" s="25"/>
      <c r="E78" s="25">
        <f t="shared" si="34"/>
        <v>0</v>
      </c>
      <c r="F78" s="25"/>
      <c r="G78" s="25">
        <f t="shared" si="35"/>
        <v>0</v>
      </c>
      <c r="H78" s="25"/>
      <c r="I78" s="25">
        <f t="shared" si="36"/>
        <v>0</v>
      </c>
      <c r="J78" s="25"/>
      <c r="K78" s="25">
        <f t="shared" si="37"/>
        <v>0</v>
      </c>
      <c r="L78" s="25"/>
      <c r="M78" s="25">
        <f t="shared" si="38"/>
        <v>0</v>
      </c>
      <c r="N78" s="25"/>
      <c r="O78" s="25">
        <f t="shared" si="39"/>
        <v>0</v>
      </c>
      <c r="P78" s="25"/>
      <c r="Q78" s="26">
        <f t="shared" si="40"/>
        <v>0</v>
      </c>
      <c r="R78" s="25"/>
      <c r="S78" s="27">
        <f t="shared" si="41"/>
        <v>0</v>
      </c>
    </row>
    <row r="79" spans="1:19">
      <c r="A79" s="28">
        <v>30</v>
      </c>
      <c r="B79" s="25"/>
      <c r="C79" s="25">
        <f t="shared" si="33"/>
        <v>0</v>
      </c>
      <c r="D79" s="25"/>
      <c r="E79" s="25">
        <f t="shared" si="34"/>
        <v>0</v>
      </c>
      <c r="F79" s="25"/>
      <c r="G79" s="25">
        <f t="shared" si="35"/>
        <v>0</v>
      </c>
      <c r="H79" s="25"/>
      <c r="I79" s="25">
        <f t="shared" si="36"/>
        <v>0</v>
      </c>
      <c r="J79" s="25"/>
      <c r="K79" s="25">
        <f t="shared" si="37"/>
        <v>0</v>
      </c>
      <c r="L79" s="25"/>
      <c r="M79" s="25">
        <f t="shared" si="38"/>
        <v>0</v>
      </c>
      <c r="N79" s="25"/>
      <c r="O79" s="25">
        <f t="shared" si="39"/>
        <v>0</v>
      </c>
      <c r="P79" s="25"/>
      <c r="Q79" s="26">
        <f t="shared" si="40"/>
        <v>0</v>
      </c>
      <c r="R79" s="25"/>
      <c r="S79" s="27">
        <f t="shared" si="41"/>
        <v>0</v>
      </c>
    </row>
    <row r="80" spans="1:19" ht="42.75" customHeight="1">
      <c r="A80" s="39"/>
      <c r="B80" s="29" t="s">
        <v>11</v>
      </c>
      <c r="C80" s="30">
        <f>SUM(C50:C79)</f>
        <v>1780</v>
      </c>
      <c r="D80" s="29" t="s">
        <v>11</v>
      </c>
      <c r="E80" s="30">
        <f>SUM(E50:E79)</f>
        <v>520</v>
      </c>
      <c r="F80" s="29" t="s">
        <v>11</v>
      </c>
      <c r="G80" s="30">
        <f>SUM(G50:G79)</f>
        <v>1900</v>
      </c>
      <c r="H80" s="29" t="s">
        <v>11</v>
      </c>
      <c r="I80" s="30">
        <f>SUM(I50:I79)</f>
        <v>1340</v>
      </c>
      <c r="J80" s="29" t="s">
        <v>11</v>
      </c>
      <c r="K80" s="30">
        <f>SUM(K50:K79)</f>
        <v>2200</v>
      </c>
      <c r="L80" s="29" t="s">
        <v>11</v>
      </c>
      <c r="M80" s="30">
        <f>SUM(M50:M79)</f>
        <v>1440</v>
      </c>
      <c r="N80" s="29" t="s">
        <v>11</v>
      </c>
      <c r="O80" s="30">
        <f>SUM(O50:O79)</f>
        <v>3520</v>
      </c>
      <c r="P80" s="29" t="s">
        <v>11</v>
      </c>
      <c r="Q80" s="30">
        <f>SUM(Q50:Q79)</f>
        <v>2540</v>
      </c>
      <c r="R80" s="29" t="s">
        <v>11</v>
      </c>
      <c r="S80" s="27">
        <f>SUM(S50:S79)</f>
        <v>760</v>
      </c>
    </row>
    <row r="81" spans="1:19" ht="44.25" customHeight="1" thickBot="1">
      <c r="A81" s="40"/>
      <c r="B81" s="31" t="s">
        <v>14</v>
      </c>
      <c r="C81" s="30">
        <f>IF(C80=0,9,RANK(C80,$C$80:$S$80,0))</f>
        <v>5</v>
      </c>
      <c r="D81" s="31" t="s">
        <v>14</v>
      </c>
      <c r="E81" s="30">
        <f t="shared" ref="E81" si="42">IF(E80=0,9,RANK(E80,$C$80:$S$80,0))</f>
        <v>9</v>
      </c>
      <c r="F81" s="31" t="s">
        <v>14</v>
      </c>
      <c r="G81" s="30">
        <f t="shared" ref="G81" si="43">IF(G80=0,9,RANK(G80,$C$80:$S$80,0))</f>
        <v>4</v>
      </c>
      <c r="H81" s="31" t="s">
        <v>14</v>
      </c>
      <c r="I81" s="30">
        <f t="shared" ref="I81" si="44">IF(I80=0,9,RANK(I80,$C$80:$S$80,0))</f>
        <v>7</v>
      </c>
      <c r="J81" s="31" t="s">
        <v>14</v>
      </c>
      <c r="K81" s="30">
        <f t="shared" ref="K81" si="45">IF(K80=0,9,RANK(K80,$C$80:$S$80,0))</f>
        <v>3</v>
      </c>
      <c r="L81" s="31" t="s">
        <v>14</v>
      </c>
      <c r="M81" s="30">
        <f t="shared" ref="M81" si="46">IF(M80=0,9,RANK(M80,$C$80:$S$80,0))</f>
        <v>6</v>
      </c>
      <c r="N81" s="31" t="s">
        <v>14</v>
      </c>
      <c r="O81" s="30">
        <f t="shared" ref="O81" si="47">IF(O80=0,9,RANK(O80,$C$80:$S$80,0))</f>
        <v>1</v>
      </c>
      <c r="P81" s="31" t="s">
        <v>14</v>
      </c>
      <c r="Q81" s="30">
        <f t="shared" ref="Q81" si="48">IF(Q80=0,9,RANK(Q80,$C$80:$S$80,0))</f>
        <v>2</v>
      </c>
      <c r="R81" s="29" t="s">
        <v>14</v>
      </c>
      <c r="S81" s="27">
        <f t="shared" ref="S81" si="49">IF(S80=0,9,RANK(S80,$C$80:$S$80,0))</f>
        <v>8</v>
      </c>
    </row>
    <row r="82" spans="1:19">
      <c r="A82" s="32"/>
      <c r="B82" s="141" t="s">
        <v>29</v>
      </c>
      <c r="C82" s="137">
        <f>COUNT(B50:B79)</f>
        <v>3</v>
      </c>
      <c r="D82" s="141" t="s">
        <v>29</v>
      </c>
      <c r="E82" s="137">
        <f t="shared" ref="E82" si="50">COUNT(D50:D79)</f>
        <v>1</v>
      </c>
      <c r="F82" s="141" t="s">
        <v>29</v>
      </c>
      <c r="G82" s="137">
        <f t="shared" ref="G82" si="51">COUNT(F50:F79)</f>
        <v>3</v>
      </c>
      <c r="H82" s="141" t="s">
        <v>29</v>
      </c>
      <c r="I82" s="137">
        <f t="shared" ref="I82" si="52">COUNT(H50:H79)</f>
        <v>2</v>
      </c>
      <c r="J82" s="141" t="s">
        <v>29</v>
      </c>
      <c r="K82" s="137">
        <f t="shared" ref="K82" si="53">COUNT(J50:J79)</f>
        <v>3</v>
      </c>
      <c r="L82" s="141" t="s">
        <v>29</v>
      </c>
      <c r="M82" s="137">
        <f t="shared" ref="M82" si="54">COUNT(L50:L79)</f>
        <v>2</v>
      </c>
      <c r="N82" s="141" t="s">
        <v>29</v>
      </c>
      <c r="O82" s="137">
        <f t="shared" ref="O82" si="55">COUNT(N50:N79)</f>
        <v>5</v>
      </c>
      <c r="P82" s="141" t="s">
        <v>29</v>
      </c>
      <c r="Q82" s="148">
        <f t="shared" ref="Q82" si="56">COUNT(P50:P79)</f>
        <v>4</v>
      </c>
      <c r="R82" s="141" t="s">
        <v>29</v>
      </c>
      <c r="S82" s="138">
        <f t="shared" ref="S82" si="57">COUNT(R50:R79)</f>
        <v>1</v>
      </c>
    </row>
    <row r="83" spans="1:19">
      <c r="A83" s="32"/>
      <c r="B83" s="141"/>
      <c r="C83" s="137"/>
      <c r="D83" s="141"/>
      <c r="E83" s="137"/>
      <c r="F83" s="141"/>
      <c r="G83" s="137"/>
      <c r="H83" s="141"/>
      <c r="I83" s="137"/>
      <c r="J83" s="141"/>
      <c r="K83" s="137"/>
      <c r="L83" s="141"/>
      <c r="M83" s="137"/>
      <c r="N83" s="141"/>
      <c r="O83" s="137"/>
      <c r="P83" s="141"/>
      <c r="Q83" s="148"/>
      <c r="R83" s="141"/>
      <c r="S83" s="138"/>
    </row>
    <row r="84" spans="1:19">
      <c r="A84" s="32"/>
      <c r="B84" s="141"/>
      <c r="C84" s="137"/>
      <c r="D84" s="141"/>
      <c r="E84" s="137"/>
      <c r="F84" s="141"/>
      <c r="G84" s="137"/>
      <c r="H84" s="141"/>
      <c r="I84" s="137"/>
      <c r="J84" s="141"/>
      <c r="K84" s="137"/>
      <c r="L84" s="141"/>
      <c r="M84" s="137"/>
      <c r="N84" s="141"/>
      <c r="O84" s="137"/>
      <c r="P84" s="141"/>
      <c r="Q84" s="148"/>
      <c r="R84" s="141"/>
      <c r="S84" s="138"/>
    </row>
    <row r="85" spans="1:19" ht="39.75" customHeight="1" thickBot="1">
      <c r="A85" s="33"/>
      <c r="B85" s="34" t="s">
        <v>30</v>
      </c>
      <c r="C85" s="34">
        <f>MAX(B50:B79)</f>
        <v>27</v>
      </c>
      <c r="D85" s="34" t="s">
        <v>30</v>
      </c>
      <c r="E85" s="34">
        <f t="shared" ref="E85" si="58">MAX(D50:D79)</f>
        <v>21</v>
      </c>
      <c r="F85" s="34" t="s">
        <v>30</v>
      </c>
      <c r="G85" s="34">
        <f t="shared" ref="G85" si="59">MAX(F50:F79)</f>
        <v>29</v>
      </c>
      <c r="H85" s="34" t="s">
        <v>30</v>
      </c>
      <c r="I85" s="34">
        <f t="shared" ref="I85" si="60">MAX(H50:H79)</f>
        <v>30</v>
      </c>
      <c r="J85" s="34" t="s">
        <v>30</v>
      </c>
      <c r="K85" s="34">
        <f t="shared" ref="K85" si="61">MAX(J50:J79)</f>
        <v>37</v>
      </c>
      <c r="L85" s="34" t="s">
        <v>30</v>
      </c>
      <c r="M85" s="34">
        <f t="shared" ref="M85" si="62">MAX(L50:L79)</f>
        <v>32</v>
      </c>
      <c r="N85" s="34" t="s">
        <v>30</v>
      </c>
      <c r="O85" s="34">
        <f t="shared" ref="O85" si="63">MAX(N50:N79)</f>
        <v>35</v>
      </c>
      <c r="P85" s="34" t="s">
        <v>30</v>
      </c>
      <c r="Q85" s="72">
        <f t="shared" ref="Q85" si="64">MAX(P50:P79)</f>
        <v>28</v>
      </c>
      <c r="R85" s="34" t="s">
        <v>30</v>
      </c>
      <c r="S85" s="73">
        <f t="shared" ref="S85" si="65">MAX(R50:R79)</f>
        <v>33</v>
      </c>
    </row>
    <row r="86" spans="1:19">
      <c r="A86" s="14"/>
      <c r="B86" s="14"/>
      <c r="C86" s="14"/>
      <c r="D86" s="14"/>
      <c r="E86" s="14"/>
      <c r="F86" s="14"/>
      <c r="G86" s="14"/>
      <c r="H86" s="14"/>
      <c r="I86" s="14"/>
      <c r="J86" s="14"/>
      <c r="K86" s="14"/>
      <c r="L86" s="14"/>
      <c r="M86" s="14"/>
      <c r="N86" s="14"/>
      <c r="O86" s="14"/>
      <c r="P86" s="14"/>
      <c r="Q86" s="14"/>
      <c r="R86" s="14"/>
      <c r="S86" s="14"/>
    </row>
    <row r="87" spans="1:19">
      <c r="A87" s="14"/>
      <c r="B87" s="14"/>
      <c r="C87" s="14"/>
      <c r="D87" s="14"/>
      <c r="E87" s="14"/>
      <c r="F87" s="14"/>
      <c r="G87" s="14"/>
      <c r="H87" s="14"/>
      <c r="I87" s="14"/>
      <c r="J87" s="14"/>
      <c r="K87" s="14"/>
      <c r="L87" s="14"/>
      <c r="M87" s="14"/>
      <c r="N87" s="14"/>
      <c r="O87" s="14"/>
      <c r="P87" s="14"/>
      <c r="Q87" s="14"/>
      <c r="R87" s="14"/>
      <c r="S87" s="14"/>
    </row>
    <row r="88" spans="1:19" ht="15.75" thickBot="1">
      <c r="A88" s="14"/>
      <c r="B88" s="14"/>
      <c r="C88" s="14"/>
      <c r="D88" s="14"/>
      <c r="E88" s="14"/>
      <c r="F88" s="14"/>
      <c r="G88" s="14"/>
      <c r="H88" s="14"/>
      <c r="I88" s="14"/>
      <c r="J88" s="14"/>
      <c r="K88" s="14"/>
      <c r="L88" s="14"/>
      <c r="M88" s="14"/>
      <c r="N88" s="14"/>
      <c r="O88" s="14"/>
      <c r="P88" s="14"/>
      <c r="Q88" s="14"/>
      <c r="R88" s="14"/>
      <c r="S88" s="14"/>
    </row>
    <row r="89" spans="1:19" ht="15" customHeight="1">
      <c r="A89" s="153" t="s">
        <v>22</v>
      </c>
      <c r="B89" s="154"/>
      <c r="C89" s="154"/>
      <c r="D89" s="154"/>
      <c r="E89" s="154"/>
      <c r="F89" s="154"/>
      <c r="G89" s="154"/>
      <c r="H89" s="154"/>
      <c r="I89" s="154"/>
      <c r="J89" s="154"/>
      <c r="K89" s="154"/>
      <c r="L89" s="154"/>
      <c r="M89" s="154"/>
      <c r="N89" s="154"/>
      <c r="O89" s="154"/>
      <c r="P89" s="154"/>
      <c r="Q89" s="154"/>
      <c r="R89" s="154"/>
      <c r="S89" s="155"/>
    </row>
    <row r="90" spans="1:19" ht="15" customHeight="1">
      <c r="A90" s="156"/>
      <c r="B90" s="157"/>
      <c r="C90" s="157"/>
      <c r="D90" s="157"/>
      <c r="E90" s="157"/>
      <c r="F90" s="157"/>
      <c r="G90" s="157"/>
      <c r="H90" s="157"/>
      <c r="I90" s="157"/>
      <c r="J90" s="157"/>
      <c r="K90" s="157"/>
      <c r="L90" s="157"/>
      <c r="M90" s="157"/>
      <c r="N90" s="157"/>
      <c r="O90" s="157"/>
      <c r="P90" s="157"/>
      <c r="Q90" s="157"/>
      <c r="R90" s="157"/>
      <c r="S90" s="158"/>
    </row>
    <row r="91" spans="1:19">
      <c r="A91" s="152" t="s">
        <v>15</v>
      </c>
      <c r="B91" s="137" t="s">
        <v>10</v>
      </c>
      <c r="C91" s="137"/>
      <c r="D91" s="137" t="s">
        <v>10</v>
      </c>
      <c r="E91" s="137"/>
      <c r="F91" s="137" t="s">
        <v>10</v>
      </c>
      <c r="G91" s="137"/>
      <c r="H91" s="137" t="s">
        <v>10</v>
      </c>
      <c r="I91" s="137"/>
      <c r="J91" s="137" t="s">
        <v>10</v>
      </c>
      <c r="K91" s="137"/>
      <c r="L91" s="137" t="s">
        <v>10</v>
      </c>
      <c r="M91" s="137"/>
      <c r="N91" s="137" t="s">
        <v>10</v>
      </c>
      <c r="O91" s="137"/>
      <c r="P91" s="137" t="s">
        <v>10</v>
      </c>
      <c r="Q91" s="148"/>
      <c r="R91" s="137" t="s">
        <v>10</v>
      </c>
      <c r="S91" s="138"/>
    </row>
    <row r="92" spans="1:19" ht="18.75">
      <c r="A92" s="152"/>
      <c r="B92" s="139" t="str">
        <f>TABELA!H10</f>
        <v>BOGDAN GOVEDARICA</v>
      </c>
      <c r="C92" s="139"/>
      <c r="D92" s="139" t="str">
        <f>TABELA!H11</f>
        <v>MILJAN ANĐIĆ</v>
      </c>
      <c r="E92" s="139"/>
      <c r="F92" s="139" t="str">
        <f>TABELA!H12</f>
        <v>RADULE MIĆOVIĆ</v>
      </c>
      <c r="G92" s="139"/>
      <c r="H92" s="139" t="str">
        <f>TABELA!H13</f>
        <v>OMAR BAŠIĆ</v>
      </c>
      <c r="I92" s="139"/>
      <c r="J92" s="139" t="str">
        <f>TABELA!H14</f>
        <v>BALŠA FUŠTIĆ</v>
      </c>
      <c r="K92" s="139"/>
      <c r="L92" s="139" t="str">
        <f>TABELA!H15</f>
        <v>GORAN OBRENOVIĆ</v>
      </c>
      <c r="M92" s="139"/>
      <c r="N92" s="139" t="str">
        <f>TABELA!H16</f>
        <v>PETAR OBRADOVIĆ</v>
      </c>
      <c r="O92" s="139"/>
      <c r="P92" s="139" t="str">
        <f>TABELA!H17</f>
        <v>MEHMED DŽIDIĆ</v>
      </c>
      <c r="Q92" s="151"/>
      <c r="R92" s="139" t="str">
        <f>TABELA!H18</f>
        <v>ARSO JEREMIĆ</v>
      </c>
      <c r="S92" s="140"/>
    </row>
    <row r="93" spans="1:19">
      <c r="A93" s="152"/>
      <c r="B93" s="25" t="s">
        <v>12</v>
      </c>
      <c r="C93" s="25" t="s">
        <v>13</v>
      </c>
      <c r="D93" s="25" t="s">
        <v>12</v>
      </c>
      <c r="E93" s="25" t="s">
        <v>13</v>
      </c>
      <c r="F93" s="25" t="s">
        <v>12</v>
      </c>
      <c r="G93" s="25" t="s">
        <v>13</v>
      </c>
      <c r="H93" s="25" t="s">
        <v>12</v>
      </c>
      <c r="I93" s="25" t="s">
        <v>13</v>
      </c>
      <c r="J93" s="25" t="s">
        <v>12</v>
      </c>
      <c r="K93" s="25" t="s">
        <v>13</v>
      </c>
      <c r="L93" s="25" t="s">
        <v>12</v>
      </c>
      <c r="M93" s="25" t="s">
        <v>13</v>
      </c>
      <c r="N93" s="25" t="s">
        <v>12</v>
      </c>
      <c r="O93" s="25" t="s">
        <v>13</v>
      </c>
      <c r="P93" s="25" t="s">
        <v>12</v>
      </c>
      <c r="Q93" s="26" t="s">
        <v>13</v>
      </c>
      <c r="R93" s="25" t="s">
        <v>12</v>
      </c>
      <c r="S93" s="27" t="s">
        <v>13</v>
      </c>
    </row>
    <row r="94" spans="1:19">
      <c r="A94" s="28">
        <v>1</v>
      </c>
      <c r="B94" s="25"/>
      <c r="C94" s="25">
        <f>IF(B94,B94*20+100,0)</f>
        <v>0</v>
      </c>
      <c r="D94" s="25"/>
      <c r="E94" s="25">
        <f>IF(D94,D94*20+100,0)</f>
        <v>0</v>
      </c>
      <c r="F94" s="25">
        <v>20</v>
      </c>
      <c r="G94" s="25">
        <f>IF(F94,F94*20+100,0)</f>
        <v>500</v>
      </c>
      <c r="H94" s="25"/>
      <c r="I94" s="25">
        <f>IF(H94,H94*20+100,0)</f>
        <v>0</v>
      </c>
      <c r="J94" s="25">
        <v>30</v>
      </c>
      <c r="K94" s="25">
        <f>IF(J94,J94*20+100,0)</f>
        <v>700</v>
      </c>
      <c r="L94" s="25">
        <v>28</v>
      </c>
      <c r="M94" s="25">
        <f>IF(L94,L94*20+100,0)</f>
        <v>660</v>
      </c>
      <c r="N94" s="25"/>
      <c r="O94" s="25">
        <f>IF(N94,N94*20+100,0)</f>
        <v>0</v>
      </c>
      <c r="P94" s="25">
        <v>28</v>
      </c>
      <c r="Q94" s="26">
        <f>IF(P94,P94*20+100,0)</f>
        <v>660</v>
      </c>
      <c r="R94" s="25">
        <v>30</v>
      </c>
      <c r="S94" s="27">
        <f>IF(R94,R94*20+100,0)</f>
        <v>700</v>
      </c>
    </row>
    <row r="95" spans="1:19">
      <c r="A95" s="28">
        <v>2</v>
      </c>
      <c r="B95" s="25"/>
      <c r="C95" s="25">
        <f t="shared" ref="C95:C123" si="66">IF(B95,B95*20+100,0)</f>
        <v>0</v>
      </c>
      <c r="D95" s="25"/>
      <c r="E95" s="25">
        <f t="shared" ref="E95:E123" si="67">IF(D95,D95*20+100,0)</f>
        <v>0</v>
      </c>
      <c r="F95" s="25">
        <v>33</v>
      </c>
      <c r="G95" s="25">
        <f t="shared" ref="G95:G123" si="68">IF(F95,F95*20+100,0)</f>
        <v>760</v>
      </c>
      <c r="H95" s="25"/>
      <c r="I95" s="25">
        <f t="shared" ref="I95:I123" si="69">IF(H95,H95*20+100,0)</f>
        <v>0</v>
      </c>
      <c r="J95" s="25"/>
      <c r="K95" s="25">
        <f t="shared" ref="K95:K123" si="70">IF(J95,J95*20+100,0)</f>
        <v>0</v>
      </c>
      <c r="L95" s="25">
        <v>22</v>
      </c>
      <c r="M95" s="25">
        <f t="shared" ref="M95:M123" si="71">IF(L95,L95*20+100,0)</f>
        <v>540</v>
      </c>
      <c r="N95" s="25"/>
      <c r="O95" s="25">
        <f t="shared" ref="O95:O123" si="72">IF(N95,N95*20+100,0)</f>
        <v>0</v>
      </c>
      <c r="P95" s="25"/>
      <c r="Q95" s="26">
        <f t="shared" ref="Q95:Q123" si="73">IF(P95,P95*20+100,0)</f>
        <v>0</v>
      </c>
      <c r="R95" s="25"/>
      <c r="S95" s="27">
        <f t="shared" ref="S95:S123" si="74">IF(R95,R95*20+100,0)</f>
        <v>0</v>
      </c>
    </row>
    <row r="96" spans="1:19">
      <c r="A96" s="28">
        <v>3</v>
      </c>
      <c r="B96" s="25"/>
      <c r="C96" s="25">
        <f t="shared" si="66"/>
        <v>0</v>
      </c>
      <c r="D96" s="25"/>
      <c r="E96" s="25">
        <f t="shared" si="67"/>
        <v>0</v>
      </c>
      <c r="F96" s="25">
        <v>34</v>
      </c>
      <c r="G96" s="25">
        <f t="shared" si="68"/>
        <v>780</v>
      </c>
      <c r="H96" s="25"/>
      <c r="I96" s="25">
        <f t="shared" si="69"/>
        <v>0</v>
      </c>
      <c r="J96" s="25"/>
      <c r="K96" s="25">
        <f t="shared" si="70"/>
        <v>0</v>
      </c>
      <c r="L96" s="25"/>
      <c r="M96" s="25">
        <f t="shared" si="71"/>
        <v>0</v>
      </c>
      <c r="N96" s="25"/>
      <c r="O96" s="25">
        <f t="shared" si="72"/>
        <v>0</v>
      </c>
      <c r="P96" s="25"/>
      <c r="Q96" s="26">
        <f t="shared" si="73"/>
        <v>0</v>
      </c>
      <c r="R96" s="25"/>
      <c r="S96" s="27">
        <f t="shared" si="74"/>
        <v>0</v>
      </c>
    </row>
    <row r="97" spans="1:19">
      <c r="A97" s="28">
        <v>4</v>
      </c>
      <c r="B97" s="25"/>
      <c r="C97" s="25">
        <f t="shared" si="66"/>
        <v>0</v>
      </c>
      <c r="D97" s="25"/>
      <c r="E97" s="25">
        <f t="shared" si="67"/>
        <v>0</v>
      </c>
      <c r="F97" s="25"/>
      <c r="G97" s="25">
        <f t="shared" si="68"/>
        <v>0</v>
      </c>
      <c r="H97" s="25"/>
      <c r="I97" s="25">
        <f t="shared" si="69"/>
        <v>0</v>
      </c>
      <c r="J97" s="25"/>
      <c r="K97" s="25">
        <f t="shared" si="70"/>
        <v>0</v>
      </c>
      <c r="L97" s="25"/>
      <c r="M97" s="25">
        <f t="shared" si="71"/>
        <v>0</v>
      </c>
      <c r="N97" s="25"/>
      <c r="O97" s="25">
        <f t="shared" si="72"/>
        <v>0</v>
      </c>
      <c r="P97" s="25"/>
      <c r="Q97" s="26">
        <f t="shared" si="73"/>
        <v>0</v>
      </c>
      <c r="R97" s="25"/>
      <c r="S97" s="27">
        <f t="shared" si="74"/>
        <v>0</v>
      </c>
    </row>
    <row r="98" spans="1:19">
      <c r="A98" s="28">
        <v>5</v>
      </c>
      <c r="B98" s="25"/>
      <c r="C98" s="25">
        <f t="shared" si="66"/>
        <v>0</v>
      </c>
      <c r="D98" s="25"/>
      <c r="E98" s="25">
        <f t="shared" si="67"/>
        <v>0</v>
      </c>
      <c r="F98" s="25"/>
      <c r="G98" s="25">
        <f t="shared" si="68"/>
        <v>0</v>
      </c>
      <c r="H98" s="25"/>
      <c r="I98" s="25">
        <f t="shared" si="69"/>
        <v>0</v>
      </c>
      <c r="J98" s="25"/>
      <c r="K98" s="25">
        <f t="shared" si="70"/>
        <v>0</v>
      </c>
      <c r="L98" s="25"/>
      <c r="M98" s="25">
        <f t="shared" si="71"/>
        <v>0</v>
      </c>
      <c r="N98" s="25"/>
      <c r="O98" s="25">
        <f t="shared" si="72"/>
        <v>0</v>
      </c>
      <c r="P98" s="25"/>
      <c r="Q98" s="26">
        <f t="shared" si="73"/>
        <v>0</v>
      </c>
      <c r="R98" s="25"/>
      <c r="S98" s="27">
        <f t="shared" si="74"/>
        <v>0</v>
      </c>
    </row>
    <row r="99" spans="1:19">
      <c r="A99" s="28">
        <v>6</v>
      </c>
      <c r="B99" s="25"/>
      <c r="C99" s="25">
        <f t="shared" si="66"/>
        <v>0</v>
      </c>
      <c r="D99" s="25"/>
      <c r="E99" s="25">
        <f t="shared" si="67"/>
        <v>0</v>
      </c>
      <c r="F99" s="25"/>
      <c r="G99" s="25">
        <f t="shared" si="68"/>
        <v>0</v>
      </c>
      <c r="H99" s="25"/>
      <c r="I99" s="25">
        <f t="shared" si="69"/>
        <v>0</v>
      </c>
      <c r="J99" s="25"/>
      <c r="K99" s="25">
        <f t="shared" si="70"/>
        <v>0</v>
      </c>
      <c r="L99" s="25"/>
      <c r="M99" s="25">
        <f t="shared" si="71"/>
        <v>0</v>
      </c>
      <c r="N99" s="25"/>
      <c r="O99" s="25">
        <f t="shared" si="72"/>
        <v>0</v>
      </c>
      <c r="P99" s="25"/>
      <c r="Q99" s="26">
        <f t="shared" si="73"/>
        <v>0</v>
      </c>
      <c r="R99" s="25"/>
      <c r="S99" s="27">
        <f t="shared" si="74"/>
        <v>0</v>
      </c>
    </row>
    <row r="100" spans="1:19">
      <c r="A100" s="28">
        <v>7</v>
      </c>
      <c r="B100" s="25"/>
      <c r="C100" s="25">
        <f t="shared" si="66"/>
        <v>0</v>
      </c>
      <c r="D100" s="25"/>
      <c r="E100" s="25">
        <f t="shared" si="67"/>
        <v>0</v>
      </c>
      <c r="F100" s="25"/>
      <c r="G100" s="25">
        <f t="shared" si="68"/>
        <v>0</v>
      </c>
      <c r="H100" s="25"/>
      <c r="I100" s="25">
        <f t="shared" si="69"/>
        <v>0</v>
      </c>
      <c r="J100" s="25"/>
      <c r="K100" s="25">
        <f t="shared" si="70"/>
        <v>0</v>
      </c>
      <c r="L100" s="25"/>
      <c r="M100" s="25">
        <f t="shared" si="71"/>
        <v>0</v>
      </c>
      <c r="N100" s="25"/>
      <c r="O100" s="25">
        <f t="shared" si="72"/>
        <v>0</v>
      </c>
      <c r="P100" s="25"/>
      <c r="Q100" s="26">
        <f t="shared" si="73"/>
        <v>0</v>
      </c>
      <c r="R100" s="25"/>
      <c r="S100" s="27">
        <f t="shared" si="74"/>
        <v>0</v>
      </c>
    </row>
    <row r="101" spans="1:19">
      <c r="A101" s="28">
        <v>8</v>
      </c>
      <c r="B101" s="25"/>
      <c r="C101" s="25">
        <f t="shared" si="66"/>
        <v>0</v>
      </c>
      <c r="D101" s="25"/>
      <c r="E101" s="25">
        <f t="shared" si="67"/>
        <v>0</v>
      </c>
      <c r="F101" s="25"/>
      <c r="G101" s="25">
        <f t="shared" si="68"/>
        <v>0</v>
      </c>
      <c r="H101" s="25"/>
      <c r="I101" s="25">
        <f t="shared" si="69"/>
        <v>0</v>
      </c>
      <c r="J101" s="25"/>
      <c r="K101" s="25">
        <f t="shared" si="70"/>
        <v>0</v>
      </c>
      <c r="L101" s="25"/>
      <c r="M101" s="25">
        <f t="shared" si="71"/>
        <v>0</v>
      </c>
      <c r="N101" s="25"/>
      <c r="O101" s="25">
        <f t="shared" si="72"/>
        <v>0</v>
      </c>
      <c r="P101" s="25"/>
      <c r="Q101" s="26">
        <f t="shared" si="73"/>
        <v>0</v>
      </c>
      <c r="R101" s="25"/>
      <c r="S101" s="27">
        <f t="shared" si="74"/>
        <v>0</v>
      </c>
    </row>
    <row r="102" spans="1:19">
      <c r="A102" s="28">
        <v>9</v>
      </c>
      <c r="B102" s="25"/>
      <c r="C102" s="25">
        <f t="shared" si="66"/>
        <v>0</v>
      </c>
      <c r="D102" s="25"/>
      <c r="E102" s="25">
        <f t="shared" si="67"/>
        <v>0</v>
      </c>
      <c r="F102" s="25"/>
      <c r="G102" s="25">
        <f t="shared" si="68"/>
        <v>0</v>
      </c>
      <c r="H102" s="25"/>
      <c r="I102" s="25">
        <f t="shared" si="69"/>
        <v>0</v>
      </c>
      <c r="J102" s="25"/>
      <c r="K102" s="25">
        <f t="shared" si="70"/>
        <v>0</v>
      </c>
      <c r="L102" s="25"/>
      <c r="M102" s="25">
        <f t="shared" si="71"/>
        <v>0</v>
      </c>
      <c r="N102" s="25"/>
      <c r="O102" s="25">
        <f t="shared" si="72"/>
        <v>0</v>
      </c>
      <c r="P102" s="25"/>
      <c r="Q102" s="26">
        <f t="shared" si="73"/>
        <v>0</v>
      </c>
      <c r="R102" s="25"/>
      <c r="S102" s="27">
        <f t="shared" si="74"/>
        <v>0</v>
      </c>
    </row>
    <row r="103" spans="1:19">
      <c r="A103" s="28">
        <v>10</v>
      </c>
      <c r="B103" s="25"/>
      <c r="C103" s="25">
        <f t="shared" si="66"/>
        <v>0</v>
      </c>
      <c r="D103" s="25"/>
      <c r="E103" s="25">
        <f t="shared" si="67"/>
        <v>0</v>
      </c>
      <c r="F103" s="25"/>
      <c r="G103" s="25">
        <f t="shared" si="68"/>
        <v>0</v>
      </c>
      <c r="H103" s="25"/>
      <c r="I103" s="25">
        <f t="shared" si="69"/>
        <v>0</v>
      </c>
      <c r="J103" s="25"/>
      <c r="K103" s="25">
        <f t="shared" si="70"/>
        <v>0</v>
      </c>
      <c r="L103" s="25"/>
      <c r="M103" s="25">
        <f t="shared" si="71"/>
        <v>0</v>
      </c>
      <c r="N103" s="25"/>
      <c r="O103" s="25">
        <f t="shared" si="72"/>
        <v>0</v>
      </c>
      <c r="P103" s="25"/>
      <c r="Q103" s="26">
        <f t="shared" si="73"/>
        <v>0</v>
      </c>
      <c r="R103" s="25"/>
      <c r="S103" s="27">
        <f t="shared" si="74"/>
        <v>0</v>
      </c>
    </row>
    <row r="104" spans="1:19">
      <c r="A104" s="28">
        <v>11</v>
      </c>
      <c r="B104" s="25"/>
      <c r="C104" s="25">
        <f t="shared" si="66"/>
        <v>0</v>
      </c>
      <c r="D104" s="25"/>
      <c r="E104" s="25">
        <f t="shared" si="67"/>
        <v>0</v>
      </c>
      <c r="F104" s="25"/>
      <c r="G104" s="25">
        <f t="shared" si="68"/>
        <v>0</v>
      </c>
      <c r="H104" s="25"/>
      <c r="I104" s="25">
        <f t="shared" si="69"/>
        <v>0</v>
      </c>
      <c r="J104" s="25"/>
      <c r="K104" s="25">
        <f t="shared" si="70"/>
        <v>0</v>
      </c>
      <c r="L104" s="25"/>
      <c r="M104" s="25">
        <f t="shared" si="71"/>
        <v>0</v>
      </c>
      <c r="N104" s="25"/>
      <c r="O104" s="25">
        <f t="shared" si="72"/>
        <v>0</v>
      </c>
      <c r="P104" s="25"/>
      <c r="Q104" s="26">
        <f t="shared" si="73"/>
        <v>0</v>
      </c>
      <c r="R104" s="25"/>
      <c r="S104" s="27">
        <f t="shared" si="74"/>
        <v>0</v>
      </c>
    </row>
    <row r="105" spans="1:19">
      <c r="A105" s="28">
        <v>12</v>
      </c>
      <c r="B105" s="25"/>
      <c r="C105" s="25">
        <f t="shared" si="66"/>
        <v>0</v>
      </c>
      <c r="D105" s="25"/>
      <c r="E105" s="25">
        <f t="shared" si="67"/>
        <v>0</v>
      </c>
      <c r="F105" s="25"/>
      <c r="G105" s="25">
        <f t="shared" si="68"/>
        <v>0</v>
      </c>
      <c r="H105" s="25"/>
      <c r="I105" s="25">
        <f t="shared" si="69"/>
        <v>0</v>
      </c>
      <c r="J105" s="25"/>
      <c r="K105" s="25">
        <f t="shared" si="70"/>
        <v>0</v>
      </c>
      <c r="L105" s="25"/>
      <c r="M105" s="25">
        <f t="shared" si="71"/>
        <v>0</v>
      </c>
      <c r="N105" s="25"/>
      <c r="O105" s="25">
        <f t="shared" si="72"/>
        <v>0</v>
      </c>
      <c r="P105" s="25"/>
      <c r="Q105" s="26">
        <f t="shared" si="73"/>
        <v>0</v>
      </c>
      <c r="R105" s="25"/>
      <c r="S105" s="27">
        <f t="shared" si="74"/>
        <v>0</v>
      </c>
    </row>
    <row r="106" spans="1:19">
      <c r="A106" s="28">
        <v>13</v>
      </c>
      <c r="B106" s="25"/>
      <c r="C106" s="25">
        <f t="shared" si="66"/>
        <v>0</v>
      </c>
      <c r="D106" s="25"/>
      <c r="E106" s="25">
        <f t="shared" si="67"/>
        <v>0</v>
      </c>
      <c r="F106" s="25"/>
      <c r="G106" s="25">
        <f t="shared" si="68"/>
        <v>0</v>
      </c>
      <c r="H106" s="25"/>
      <c r="I106" s="25">
        <f t="shared" si="69"/>
        <v>0</v>
      </c>
      <c r="J106" s="25"/>
      <c r="K106" s="25">
        <f t="shared" si="70"/>
        <v>0</v>
      </c>
      <c r="L106" s="25"/>
      <c r="M106" s="25">
        <f t="shared" si="71"/>
        <v>0</v>
      </c>
      <c r="N106" s="25"/>
      <c r="O106" s="25">
        <f t="shared" si="72"/>
        <v>0</v>
      </c>
      <c r="P106" s="25"/>
      <c r="Q106" s="26">
        <f t="shared" si="73"/>
        <v>0</v>
      </c>
      <c r="R106" s="25"/>
      <c r="S106" s="27">
        <f t="shared" si="74"/>
        <v>0</v>
      </c>
    </row>
    <row r="107" spans="1:19">
      <c r="A107" s="28">
        <v>14</v>
      </c>
      <c r="B107" s="25"/>
      <c r="C107" s="25">
        <f t="shared" si="66"/>
        <v>0</v>
      </c>
      <c r="D107" s="25"/>
      <c r="E107" s="25">
        <f t="shared" si="67"/>
        <v>0</v>
      </c>
      <c r="F107" s="25"/>
      <c r="G107" s="25">
        <f t="shared" si="68"/>
        <v>0</v>
      </c>
      <c r="H107" s="25"/>
      <c r="I107" s="25">
        <f t="shared" si="69"/>
        <v>0</v>
      </c>
      <c r="J107" s="25"/>
      <c r="K107" s="25">
        <f t="shared" si="70"/>
        <v>0</v>
      </c>
      <c r="L107" s="25"/>
      <c r="M107" s="25">
        <f t="shared" si="71"/>
        <v>0</v>
      </c>
      <c r="N107" s="25"/>
      <c r="O107" s="25">
        <f t="shared" si="72"/>
        <v>0</v>
      </c>
      <c r="P107" s="25"/>
      <c r="Q107" s="26">
        <f t="shared" si="73"/>
        <v>0</v>
      </c>
      <c r="R107" s="25"/>
      <c r="S107" s="27">
        <f t="shared" si="74"/>
        <v>0</v>
      </c>
    </row>
    <row r="108" spans="1:19">
      <c r="A108" s="28">
        <v>15</v>
      </c>
      <c r="B108" s="25"/>
      <c r="C108" s="25">
        <f t="shared" si="66"/>
        <v>0</v>
      </c>
      <c r="D108" s="25"/>
      <c r="E108" s="25">
        <f t="shared" si="67"/>
        <v>0</v>
      </c>
      <c r="F108" s="25"/>
      <c r="G108" s="25">
        <f t="shared" si="68"/>
        <v>0</v>
      </c>
      <c r="H108" s="25"/>
      <c r="I108" s="25">
        <f t="shared" si="69"/>
        <v>0</v>
      </c>
      <c r="J108" s="25"/>
      <c r="K108" s="25">
        <f t="shared" si="70"/>
        <v>0</v>
      </c>
      <c r="L108" s="25"/>
      <c r="M108" s="25">
        <f t="shared" si="71"/>
        <v>0</v>
      </c>
      <c r="N108" s="25"/>
      <c r="O108" s="25">
        <f t="shared" si="72"/>
        <v>0</v>
      </c>
      <c r="P108" s="25"/>
      <c r="Q108" s="26">
        <f t="shared" si="73"/>
        <v>0</v>
      </c>
      <c r="R108" s="25"/>
      <c r="S108" s="27">
        <f t="shared" si="74"/>
        <v>0</v>
      </c>
    </row>
    <row r="109" spans="1:19">
      <c r="A109" s="28">
        <v>16</v>
      </c>
      <c r="B109" s="25"/>
      <c r="C109" s="25">
        <f t="shared" si="66"/>
        <v>0</v>
      </c>
      <c r="D109" s="25"/>
      <c r="E109" s="25">
        <f t="shared" si="67"/>
        <v>0</v>
      </c>
      <c r="F109" s="25"/>
      <c r="G109" s="25">
        <f t="shared" si="68"/>
        <v>0</v>
      </c>
      <c r="H109" s="25"/>
      <c r="I109" s="25">
        <f t="shared" si="69"/>
        <v>0</v>
      </c>
      <c r="J109" s="25"/>
      <c r="K109" s="25">
        <f t="shared" si="70"/>
        <v>0</v>
      </c>
      <c r="L109" s="25"/>
      <c r="M109" s="25">
        <f t="shared" si="71"/>
        <v>0</v>
      </c>
      <c r="N109" s="25"/>
      <c r="O109" s="25">
        <f t="shared" si="72"/>
        <v>0</v>
      </c>
      <c r="P109" s="25"/>
      <c r="Q109" s="26">
        <f t="shared" si="73"/>
        <v>0</v>
      </c>
      <c r="R109" s="25"/>
      <c r="S109" s="27">
        <f t="shared" si="74"/>
        <v>0</v>
      </c>
    </row>
    <row r="110" spans="1:19">
      <c r="A110" s="28">
        <v>17</v>
      </c>
      <c r="B110" s="25"/>
      <c r="C110" s="25">
        <f t="shared" si="66"/>
        <v>0</v>
      </c>
      <c r="D110" s="25"/>
      <c r="E110" s="25">
        <f t="shared" si="67"/>
        <v>0</v>
      </c>
      <c r="F110" s="25"/>
      <c r="G110" s="25">
        <f t="shared" si="68"/>
        <v>0</v>
      </c>
      <c r="H110" s="25"/>
      <c r="I110" s="25">
        <f t="shared" si="69"/>
        <v>0</v>
      </c>
      <c r="J110" s="25"/>
      <c r="K110" s="25">
        <f t="shared" si="70"/>
        <v>0</v>
      </c>
      <c r="L110" s="25"/>
      <c r="M110" s="25">
        <f t="shared" si="71"/>
        <v>0</v>
      </c>
      <c r="N110" s="25"/>
      <c r="O110" s="25">
        <f t="shared" si="72"/>
        <v>0</v>
      </c>
      <c r="P110" s="25"/>
      <c r="Q110" s="26">
        <f t="shared" si="73"/>
        <v>0</v>
      </c>
      <c r="R110" s="25"/>
      <c r="S110" s="27">
        <f t="shared" si="74"/>
        <v>0</v>
      </c>
    </row>
    <row r="111" spans="1:19">
      <c r="A111" s="28">
        <v>18</v>
      </c>
      <c r="B111" s="25"/>
      <c r="C111" s="25">
        <f t="shared" si="66"/>
        <v>0</v>
      </c>
      <c r="D111" s="25"/>
      <c r="E111" s="25">
        <f t="shared" si="67"/>
        <v>0</v>
      </c>
      <c r="F111" s="25"/>
      <c r="G111" s="25">
        <f t="shared" si="68"/>
        <v>0</v>
      </c>
      <c r="H111" s="25"/>
      <c r="I111" s="25">
        <f t="shared" si="69"/>
        <v>0</v>
      </c>
      <c r="J111" s="25"/>
      <c r="K111" s="25">
        <f t="shared" si="70"/>
        <v>0</v>
      </c>
      <c r="L111" s="25"/>
      <c r="M111" s="25">
        <f t="shared" si="71"/>
        <v>0</v>
      </c>
      <c r="N111" s="25"/>
      <c r="O111" s="25">
        <f t="shared" si="72"/>
        <v>0</v>
      </c>
      <c r="P111" s="25"/>
      <c r="Q111" s="26">
        <f t="shared" si="73"/>
        <v>0</v>
      </c>
      <c r="R111" s="25"/>
      <c r="S111" s="27">
        <f t="shared" si="74"/>
        <v>0</v>
      </c>
    </row>
    <row r="112" spans="1:19">
      <c r="A112" s="28">
        <v>19</v>
      </c>
      <c r="B112" s="25"/>
      <c r="C112" s="25">
        <f t="shared" si="66"/>
        <v>0</v>
      </c>
      <c r="D112" s="25"/>
      <c r="E112" s="25">
        <f t="shared" si="67"/>
        <v>0</v>
      </c>
      <c r="F112" s="25"/>
      <c r="G112" s="25">
        <f t="shared" si="68"/>
        <v>0</v>
      </c>
      <c r="H112" s="25"/>
      <c r="I112" s="25">
        <f t="shared" si="69"/>
        <v>0</v>
      </c>
      <c r="J112" s="25"/>
      <c r="K112" s="25">
        <f t="shared" si="70"/>
        <v>0</v>
      </c>
      <c r="L112" s="25"/>
      <c r="M112" s="25">
        <f t="shared" si="71"/>
        <v>0</v>
      </c>
      <c r="N112" s="25"/>
      <c r="O112" s="25">
        <f t="shared" si="72"/>
        <v>0</v>
      </c>
      <c r="P112" s="25"/>
      <c r="Q112" s="26">
        <f t="shared" si="73"/>
        <v>0</v>
      </c>
      <c r="R112" s="25"/>
      <c r="S112" s="27">
        <f t="shared" si="74"/>
        <v>0</v>
      </c>
    </row>
    <row r="113" spans="1:19">
      <c r="A113" s="28">
        <v>20</v>
      </c>
      <c r="B113" s="25"/>
      <c r="C113" s="25">
        <f t="shared" si="66"/>
        <v>0</v>
      </c>
      <c r="D113" s="25"/>
      <c r="E113" s="25">
        <f t="shared" si="67"/>
        <v>0</v>
      </c>
      <c r="F113" s="25"/>
      <c r="G113" s="25">
        <f t="shared" si="68"/>
        <v>0</v>
      </c>
      <c r="H113" s="25"/>
      <c r="I113" s="25">
        <f t="shared" si="69"/>
        <v>0</v>
      </c>
      <c r="J113" s="25"/>
      <c r="K113" s="25">
        <f t="shared" si="70"/>
        <v>0</v>
      </c>
      <c r="L113" s="25"/>
      <c r="M113" s="25">
        <f t="shared" si="71"/>
        <v>0</v>
      </c>
      <c r="N113" s="25"/>
      <c r="O113" s="25">
        <f t="shared" si="72"/>
        <v>0</v>
      </c>
      <c r="P113" s="25"/>
      <c r="Q113" s="26">
        <f t="shared" si="73"/>
        <v>0</v>
      </c>
      <c r="R113" s="25"/>
      <c r="S113" s="27">
        <f t="shared" si="74"/>
        <v>0</v>
      </c>
    </row>
    <row r="114" spans="1:19">
      <c r="A114" s="28">
        <v>21</v>
      </c>
      <c r="B114" s="25"/>
      <c r="C114" s="25">
        <f t="shared" si="66"/>
        <v>0</v>
      </c>
      <c r="D114" s="25"/>
      <c r="E114" s="25">
        <f t="shared" si="67"/>
        <v>0</v>
      </c>
      <c r="F114" s="25"/>
      <c r="G114" s="25">
        <f t="shared" si="68"/>
        <v>0</v>
      </c>
      <c r="H114" s="25"/>
      <c r="I114" s="25">
        <f t="shared" si="69"/>
        <v>0</v>
      </c>
      <c r="J114" s="25"/>
      <c r="K114" s="25">
        <f t="shared" si="70"/>
        <v>0</v>
      </c>
      <c r="L114" s="25"/>
      <c r="M114" s="25">
        <f t="shared" si="71"/>
        <v>0</v>
      </c>
      <c r="N114" s="25"/>
      <c r="O114" s="25">
        <f t="shared" si="72"/>
        <v>0</v>
      </c>
      <c r="P114" s="25"/>
      <c r="Q114" s="26">
        <f t="shared" si="73"/>
        <v>0</v>
      </c>
      <c r="R114" s="25"/>
      <c r="S114" s="27">
        <f t="shared" si="74"/>
        <v>0</v>
      </c>
    </row>
    <row r="115" spans="1:19">
      <c r="A115" s="28">
        <v>22</v>
      </c>
      <c r="B115" s="25"/>
      <c r="C115" s="25">
        <f t="shared" si="66"/>
        <v>0</v>
      </c>
      <c r="D115" s="25"/>
      <c r="E115" s="25">
        <f t="shared" si="67"/>
        <v>0</v>
      </c>
      <c r="F115" s="25"/>
      <c r="G115" s="25">
        <f t="shared" si="68"/>
        <v>0</v>
      </c>
      <c r="H115" s="25"/>
      <c r="I115" s="25">
        <f t="shared" si="69"/>
        <v>0</v>
      </c>
      <c r="J115" s="25"/>
      <c r="K115" s="25">
        <f t="shared" si="70"/>
        <v>0</v>
      </c>
      <c r="L115" s="25"/>
      <c r="M115" s="25">
        <f t="shared" si="71"/>
        <v>0</v>
      </c>
      <c r="N115" s="25"/>
      <c r="O115" s="25">
        <f t="shared" si="72"/>
        <v>0</v>
      </c>
      <c r="P115" s="25"/>
      <c r="Q115" s="26">
        <f t="shared" si="73"/>
        <v>0</v>
      </c>
      <c r="R115" s="25"/>
      <c r="S115" s="27">
        <f t="shared" si="74"/>
        <v>0</v>
      </c>
    </row>
    <row r="116" spans="1:19">
      <c r="A116" s="28">
        <v>23</v>
      </c>
      <c r="B116" s="25"/>
      <c r="C116" s="25">
        <f t="shared" si="66"/>
        <v>0</v>
      </c>
      <c r="D116" s="25"/>
      <c r="E116" s="25">
        <f t="shared" si="67"/>
        <v>0</v>
      </c>
      <c r="F116" s="25"/>
      <c r="G116" s="25">
        <f t="shared" si="68"/>
        <v>0</v>
      </c>
      <c r="H116" s="25"/>
      <c r="I116" s="25">
        <f t="shared" si="69"/>
        <v>0</v>
      </c>
      <c r="J116" s="25"/>
      <c r="K116" s="25">
        <f t="shared" si="70"/>
        <v>0</v>
      </c>
      <c r="L116" s="25"/>
      <c r="M116" s="25">
        <f t="shared" si="71"/>
        <v>0</v>
      </c>
      <c r="N116" s="25"/>
      <c r="O116" s="25">
        <f t="shared" si="72"/>
        <v>0</v>
      </c>
      <c r="P116" s="25"/>
      <c r="Q116" s="26">
        <f t="shared" si="73"/>
        <v>0</v>
      </c>
      <c r="R116" s="25"/>
      <c r="S116" s="27">
        <f t="shared" si="74"/>
        <v>0</v>
      </c>
    </row>
    <row r="117" spans="1:19">
      <c r="A117" s="28">
        <v>24</v>
      </c>
      <c r="B117" s="25"/>
      <c r="C117" s="25">
        <f t="shared" si="66"/>
        <v>0</v>
      </c>
      <c r="D117" s="25"/>
      <c r="E117" s="25">
        <f t="shared" si="67"/>
        <v>0</v>
      </c>
      <c r="F117" s="25"/>
      <c r="G117" s="25">
        <f t="shared" si="68"/>
        <v>0</v>
      </c>
      <c r="H117" s="25"/>
      <c r="I117" s="25">
        <f t="shared" si="69"/>
        <v>0</v>
      </c>
      <c r="J117" s="25"/>
      <c r="K117" s="25">
        <f t="shared" si="70"/>
        <v>0</v>
      </c>
      <c r="L117" s="25"/>
      <c r="M117" s="25">
        <f t="shared" si="71"/>
        <v>0</v>
      </c>
      <c r="N117" s="25"/>
      <c r="O117" s="25">
        <f t="shared" si="72"/>
        <v>0</v>
      </c>
      <c r="P117" s="25"/>
      <c r="Q117" s="26">
        <f t="shared" si="73"/>
        <v>0</v>
      </c>
      <c r="R117" s="25"/>
      <c r="S117" s="27">
        <f t="shared" si="74"/>
        <v>0</v>
      </c>
    </row>
    <row r="118" spans="1:19">
      <c r="A118" s="28">
        <v>25</v>
      </c>
      <c r="B118" s="25"/>
      <c r="C118" s="25">
        <f t="shared" si="66"/>
        <v>0</v>
      </c>
      <c r="D118" s="25"/>
      <c r="E118" s="25">
        <f t="shared" si="67"/>
        <v>0</v>
      </c>
      <c r="F118" s="25"/>
      <c r="G118" s="25">
        <f t="shared" si="68"/>
        <v>0</v>
      </c>
      <c r="H118" s="25"/>
      <c r="I118" s="25">
        <f t="shared" si="69"/>
        <v>0</v>
      </c>
      <c r="J118" s="25"/>
      <c r="K118" s="25">
        <f t="shared" si="70"/>
        <v>0</v>
      </c>
      <c r="L118" s="25"/>
      <c r="M118" s="25">
        <f t="shared" si="71"/>
        <v>0</v>
      </c>
      <c r="N118" s="25"/>
      <c r="O118" s="25">
        <f t="shared" si="72"/>
        <v>0</v>
      </c>
      <c r="P118" s="25"/>
      <c r="Q118" s="26">
        <f t="shared" si="73"/>
        <v>0</v>
      </c>
      <c r="R118" s="25"/>
      <c r="S118" s="27">
        <f t="shared" si="74"/>
        <v>0</v>
      </c>
    </row>
    <row r="119" spans="1:19">
      <c r="A119" s="28">
        <v>26</v>
      </c>
      <c r="B119" s="25"/>
      <c r="C119" s="25">
        <f t="shared" si="66"/>
        <v>0</v>
      </c>
      <c r="D119" s="25"/>
      <c r="E119" s="25">
        <f t="shared" si="67"/>
        <v>0</v>
      </c>
      <c r="F119" s="25"/>
      <c r="G119" s="25">
        <f t="shared" si="68"/>
        <v>0</v>
      </c>
      <c r="H119" s="25"/>
      <c r="I119" s="25">
        <f t="shared" si="69"/>
        <v>0</v>
      </c>
      <c r="J119" s="25"/>
      <c r="K119" s="25">
        <f t="shared" si="70"/>
        <v>0</v>
      </c>
      <c r="L119" s="25"/>
      <c r="M119" s="25">
        <f t="shared" si="71"/>
        <v>0</v>
      </c>
      <c r="N119" s="25"/>
      <c r="O119" s="25">
        <f t="shared" si="72"/>
        <v>0</v>
      </c>
      <c r="P119" s="25"/>
      <c r="Q119" s="26">
        <f t="shared" si="73"/>
        <v>0</v>
      </c>
      <c r="R119" s="25"/>
      <c r="S119" s="27">
        <f t="shared" si="74"/>
        <v>0</v>
      </c>
    </row>
    <row r="120" spans="1:19">
      <c r="A120" s="28">
        <v>27</v>
      </c>
      <c r="B120" s="25"/>
      <c r="C120" s="25">
        <f t="shared" si="66"/>
        <v>0</v>
      </c>
      <c r="D120" s="25"/>
      <c r="E120" s="25">
        <f t="shared" si="67"/>
        <v>0</v>
      </c>
      <c r="F120" s="25"/>
      <c r="G120" s="25">
        <f t="shared" si="68"/>
        <v>0</v>
      </c>
      <c r="H120" s="25"/>
      <c r="I120" s="25">
        <f t="shared" si="69"/>
        <v>0</v>
      </c>
      <c r="J120" s="25"/>
      <c r="K120" s="25">
        <f t="shared" si="70"/>
        <v>0</v>
      </c>
      <c r="L120" s="25"/>
      <c r="M120" s="25">
        <f t="shared" si="71"/>
        <v>0</v>
      </c>
      <c r="N120" s="25"/>
      <c r="O120" s="25">
        <f t="shared" si="72"/>
        <v>0</v>
      </c>
      <c r="P120" s="25"/>
      <c r="Q120" s="26">
        <f t="shared" si="73"/>
        <v>0</v>
      </c>
      <c r="R120" s="25"/>
      <c r="S120" s="27">
        <f t="shared" si="74"/>
        <v>0</v>
      </c>
    </row>
    <row r="121" spans="1:19">
      <c r="A121" s="28">
        <v>28</v>
      </c>
      <c r="B121" s="25"/>
      <c r="C121" s="25">
        <f t="shared" si="66"/>
        <v>0</v>
      </c>
      <c r="D121" s="25"/>
      <c r="E121" s="25">
        <f t="shared" si="67"/>
        <v>0</v>
      </c>
      <c r="F121" s="25"/>
      <c r="G121" s="25">
        <f t="shared" si="68"/>
        <v>0</v>
      </c>
      <c r="H121" s="25"/>
      <c r="I121" s="25">
        <f t="shared" si="69"/>
        <v>0</v>
      </c>
      <c r="J121" s="25"/>
      <c r="K121" s="25">
        <f t="shared" si="70"/>
        <v>0</v>
      </c>
      <c r="L121" s="25"/>
      <c r="M121" s="25">
        <f t="shared" si="71"/>
        <v>0</v>
      </c>
      <c r="N121" s="25"/>
      <c r="O121" s="25">
        <f t="shared" si="72"/>
        <v>0</v>
      </c>
      <c r="P121" s="25"/>
      <c r="Q121" s="26">
        <f t="shared" si="73"/>
        <v>0</v>
      </c>
      <c r="R121" s="25"/>
      <c r="S121" s="27">
        <f t="shared" si="74"/>
        <v>0</v>
      </c>
    </row>
    <row r="122" spans="1:19">
      <c r="A122" s="28">
        <v>29</v>
      </c>
      <c r="B122" s="25"/>
      <c r="C122" s="25">
        <f t="shared" si="66"/>
        <v>0</v>
      </c>
      <c r="D122" s="25"/>
      <c r="E122" s="25">
        <f t="shared" si="67"/>
        <v>0</v>
      </c>
      <c r="F122" s="25"/>
      <c r="G122" s="25">
        <f t="shared" si="68"/>
        <v>0</v>
      </c>
      <c r="H122" s="25"/>
      <c r="I122" s="25">
        <f t="shared" si="69"/>
        <v>0</v>
      </c>
      <c r="J122" s="25"/>
      <c r="K122" s="25">
        <f t="shared" si="70"/>
        <v>0</v>
      </c>
      <c r="L122" s="25"/>
      <c r="M122" s="25">
        <f t="shared" si="71"/>
        <v>0</v>
      </c>
      <c r="N122" s="25"/>
      <c r="O122" s="25">
        <f t="shared" si="72"/>
        <v>0</v>
      </c>
      <c r="P122" s="25"/>
      <c r="Q122" s="26">
        <f t="shared" si="73"/>
        <v>0</v>
      </c>
      <c r="R122" s="25"/>
      <c r="S122" s="27">
        <f t="shared" si="74"/>
        <v>0</v>
      </c>
    </row>
    <row r="123" spans="1:19">
      <c r="A123" s="28">
        <v>30</v>
      </c>
      <c r="B123" s="25"/>
      <c r="C123" s="25">
        <f t="shared" si="66"/>
        <v>0</v>
      </c>
      <c r="D123" s="25"/>
      <c r="E123" s="25">
        <f t="shared" si="67"/>
        <v>0</v>
      </c>
      <c r="F123" s="25"/>
      <c r="G123" s="25">
        <f t="shared" si="68"/>
        <v>0</v>
      </c>
      <c r="H123" s="25"/>
      <c r="I123" s="25">
        <f t="shared" si="69"/>
        <v>0</v>
      </c>
      <c r="J123" s="25"/>
      <c r="K123" s="25">
        <f t="shared" si="70"/>
        <v>0</v>
      </c>
      <c r="L123" s="25"/>
      <c r="M123" s="25">
        <f t="shared" si="71"/>
        <v>0</v>
      </c>
      <c r="N123" s="25"/>
      <c r="O123" s="25">
        <f t="shared" si="72"/>
        <v>0</v>
      </c>
      <c r="P123" s="25"/>
      <c r="Q123" s="26">
        <f t="shared" si="73"/>
        <v>0</v>
      </c>
      <c r="R123" s="25"/>
      <c r="S123" s="27">
        <f t="shared" si="74"/>
        <v>0</v>
      </c>
    </row>
    <row r="124" spans="1:19">
      <c r="A124" s="39"/>
      <c r="B124" s="141" t="s">
        <v>11</v>
      </c>
      <c r="C124" s="159">
        <f>SUM(C94:C123)</f>
        <v>0</v>
      </c>
      <c r="D124" s="141" t="s">
        <v>11</v>
      </c>
      <c r="E124" s="159">
        <f>SUM(E94:E123)</f>
        <v>0</v>
      </c>
      <c r="F124" s="141" t="s">
        <v>11</v>
      </c>
      <c r="G124" s="159">
        <f>SUM(G94:G123)</f>
        <v>2040</v>
      </c>
      <c r="H124" s="141" t="s">
        <v>11</v>
      </c>
      <c r="I124" s="159">
        <f>SUM(I94:I123)</f>
        <v>0</v>
      </c>
      <c r="J124" s="141" t="s">
        <v>11</v>
      </c>
      <c r="K124" s="159">
        <f>SUM(K94:K123)</f>
        <v>700</v>
      </c>
      <c r="L124" s="141" t="s">
        <v>11</v>
      </c>
      <c r="M124" s="159">
        <f>SUM(M94:M123)</f>
        <v>1200</v>
      </c>
      <c r="N124" s="141" t="s">
        <v>11</v>
      </c>
      <c r="O124" s="159">
        <f>SUM(O94:O123)</f>
        <v>0</v>
      </c>
      <c r="P124" s="141" t="s">
        <v>11</v>
      </c>
      <c r="Q124" s="159">
        <f>SUM(Q94:Q123)</f>
        <v>660</v>
      </c>
      <c r="R124" s="141" t="s">
        <v>11</v>
      </c>
      <c r="S124" s="138">
        <f>SUM(S94:S123)</f>
        <v>700</v>
      </c>
    </row>
    <row r="125" spans="1:19">
      <c r="A125" s="42"/>
      <c r="B125" s="141"/>
      <c r="C125" s="160"/>
      <c r="D125" s="141"/>
      <c r="E125" s="160"/>
      <c r="F125" s="141"/>
      <c r="G125" s="160"/>
      <c r="H125" s="141"/>
      <c r="I125" s="160"/>
      <c r="J125" s="141"/>
      <c r="K125" s="160"/>
      <c r="L125" s="141"/>
      <c r="M125" s="160"/>
      <c r="N125" s="141"/>
      <c r="O125" s="160"/>
      <c r="P125" s="141"/>
      <c r="Q125" s="160"/>
      <c r="R125" s="141"/>
      <c r="S125" s="138"/>
    </row>
    <row r="126" spans="1:19" ht="34.5" customHeight="1" thickBot="1">
      <c r="A126" s="40"/>
      <c r="B126" s="31" t="s">
        <v>14</v>
      </c>
      <c r="C126" s="30">
        <f>IF(C124=0,9,RANK(C124,$C$124:$S$125,0))</f>
        <v>9</v>
      </c>
      <c r="D126" s="31" t="s">
        <v>14</v>
      </c>
      <c r="E126" s="30">
        <f t="shared" ref="E126" si="75">IF(E124=0,9,RANK(E124,$C$124:$S$125,0))</f>
        <v>9</v>
      </c>
      <c r="F126" s="31" t="s">
        <v>14</v>
      </c>
      <c r="G126" s="30">
        <f t="shared" ref="G126" si="76">IF(G124=0,9,RANK(G124,$C$124:$S$125,0))</f>
        <v>1</v>
      </c>
      <c r="H126" s="31" t="s">
        <v>14</v>
      </c>
      <c r="I126" s="30">
        <f t="shared" ref="I126" si="77">IF(I124=0,9,RANK(I124,$C$124:$S$125,0))</f>
        <v>9</v>
      </c>
      <c r="J126" s="31" t="s">
        <v>14</v>
      </c>
      <c r="K126" s="30">
        <f t="shared" ref="K126" si="78">IF(K124=0,9,RANK(K124,$C$124:$S$125,0))</f>
        <v>3</v>
      </c>
      <c r="L126" s="31" t="s">
        <v>14</v>
      </c>
      <c r="M126" s="30">
        <f t="shared" ref="M126" si="79">IF(M124=0,9,RANK(M124,$C$124:$S$125,0))</f>
        <v>2</v>
      </c>
      <c r="N126" s="31" t="s">
        <v>14</v>
      </c>
      <c r="O126" s="30">
        <f t="shared" ref="O126" si="80">IF(O124=0,9,RANK(O124,$C$124:$S$125,0))</f>
        <v>9</v>
      </c>
      <c r="P126" s="31" t="s">
        <v>14</v>
      </c>
      <c r="Q126" s="30">
        <f t="shared" ref="Q126" si="81">IF(Q124=0,9,RANK(Q124,$C$124:$S$125,0))</f>
        <v>5</v>
      </c>
      <c r="R126" s="31" t="s">
        <v>14</v>
      </c>
      <c r="S126" s="38">
        <f t="shared" ref="S126" si="82">IF(S124=0,9,RANK(S124,$C$124:$S$125,0))</f>
        <v>3</v>
      </c>
    </row>
    <row r="127" spans="1:19">
      <c r="A127" s="32"/>
      <c r="B127" s="141" t="s">
        <v>29</v>
      </c>
      <c r="C127" s="137">
        <f>COUNT(B94:B123)</f>
        <v>0</v>
      </c>
      <c r="D127" s="141" t="s">
        <v>29</v>
      </c>
      <c r="E127" s="137">
        <f t="shared" ref="E127" si="83">COUNT(D94:D123)</f>
        <v>0</v>
      </c>
      <c r="F127" s="141" t="s">
        <v>29</v>
      </c>
      <c r="G127" s="137">
        <f t="shared" ref="G127" si="84">COUNT(F94:F123)</f>
        <v>3</v>
      </c>
      <c r="H127" s="141" t="s">
        <v>29</v>
      </c>
      <c r="I127" s="137">
        <f t="shared" ref="I127" si="85">COUNT(H94:H123)</f>
        <v>0</v>
      </c>
      <c r="J127" s="141" t="s">
        <v>29</v>
      </c>
      <c r="K127" s="137">
        <f t="shared" ref="K127" si="86">COUNT(J94:J123)</f>
        <v>1</v>
      </c>
      <c r="L127" s="141" t="s">
        <v>29</v>
      </c>
      <c r="M127" s="137">
        <f t="shared" ref="M127" si="87">COUNT(L94:L123)</f>
        <v>2</v>
      </c>
      <c r="N127" s="141" t="s">
        <v>29</v>
      </c>
      <c r="O127" s="137">
        <f t="shared" ref="O127" si="88">COUNT(N94:N123)</f>
        <v>0</v>
      </c>
      <c r="P127" s="141" t="s">
        <v>29</v>
      </c>
      <c r="Q127" s="148">
        <f t="shared" ref="Q127" si="89">COUNT(P94:P123)</f>
        <v>1</v>
      </c>
      <c r="R127" s="141" t="s">
        <v>29</v>
      </c>
      <c r="S127" s="138">
        <f t="shared" ref="S127" si="90">COUNT(R94:R123)</f>
        <v>1</v>
      </c>
    </row>
    <row r="128" spans="1:19">
      <c r="A128" s="32"/>
      <c r="B128" s="141"/>
      <c r="C128" s="137"/>
      <c r="D128" s="141"/>
      <c r="E128" s="137"/>
      <c r="F128" s="141"/>
      <c r="G128" s="137"/>
      <c r="H128" s="141"/>
      <c r="I128" s="137"/>
      <c r="J128" s="141"/>
      <c r="K128" s="137"/>
      <c r="L128" s="141"/>
      <c r="M128" s="137"/>
      <c r="N128" s="141"/>
      <c r="O128" s="137"/>
      <c r="P128" s="141"/>
      <c r="Q128" s="148"/>
      <c r="R128" s="141"/>
      <c r="S128" s="138"/>
    </row>
    <row r="129" spans="1:19">
      <c r="A129" s="32"/>
      <c r="B129" s="141"/>
      <c r="C129" s="137"/>
      <c r="D129" s="141"/>
      <c r="E129" s="137"/>
      <c r="F129" s="141"/>
      <c r="G129" s="137"/>
      <c r="H129" s="141"/>
      <c r="I129" s="137"/>
      <c r="J129" s="141"/>
      <c r="K129" s="137"/>
      <c r="L129" s="141"/>
      <c r="M129" s="137"/>
      <c r="N129" s="141"/>
      <c r="O129" s="137"/>
      <c r="P129" s="141"/>
      <c r="Q129" s="148"/>
      <c r="R129" s="141"/>
      <c r="S129" s="138"/>
    </row>
    <row r="130" spans="1:19" ht="41.25" customHeight="1" thickBot="1">
      <c r="A130" s="33"/>
      <c r="B130" s="34" t="s">
        <v>30</v>
      </c>
      <c r="C130" s="34">
        <f>MAX(B94:B123)</f>
        <v>0</v>
      </c>
      <c r="D130" s="34" t="s">
        <v>30</v>
      </c>
      <c r="E130" s="34">
        <f t="shared" ref="E130" si="91">MAX(D94:D123)</f>
        <v>0</v>
      </c>
      <c r="F130" s="34" t="s">
        <v>30</v>
      </c>
      <c r="G130" s="34">
        <f t="shared" ref="G130" si="92">MAX(F94:F123)</f>
        <v>34</v>
      </c>
      <c r="H130" s="34" t="s">
        <v>30</v>
      </c>
      <c r="I130" s="34">
        <f t="shared" ref="I130" si="93">MAX(H94:H123)</f>
        <v>0</v>
      </c>
      <c r="J130" s="34" t="s">
        <v>30</v>
      </c>
      <c r="K130" s="34">
        <f t="shared" ref="K130" si="94">MAX(J94:J123)</f>
        <v>30</v>
      </c>
      <c r="L130" s="34" t="s">
        <v>30</v>
      </c>
      <c r="M130" s="34">
        <f t="shared" ref="M130" si="95">MAX(L94:L123)</f>
        <v>28</v>
      </c>
      <c r="N130" s="34" t="s">
        <v>30</v>
      </c>
      <c r="O130" s="34">
        <f t="shared" ref="O130" si="96">MAX(N94:N123)</f>
        <v>0</v>
      </c>
      <c r="P130" s="34" t="s">
        <v>30</v>
      </c>
      <c r="Q130" s="72">
        <f t="shared" ref="Q130" si="97">MAX(P94:P123)</f>
        <v>28</v>
      </c>
      <c r="R130" s="34" t="s">
        <v>30</v>
      </c>
      <c r="S130" s="73">
        <f t="shared" ref="S130" si="98">MAX(R94:R123)</f>
        <v>30</v>
      </c>
    </row>
  </sheetData>
  <mergeCells count="132">
    <mergeCell ref="P38:P40"/>
    <mergeCell ref="Q38:Q40"/>
    <mergeCell ref="G38:G40"/>
    <mergeCell ref="H38:H40"/>
    <mergeCell ref="I38:I40"/>
    <mergeCell ref="J38:J40"/>
    <mergeCell ref="K38:K40"/>
    <mergeCell ref="L38:L40"/>
    <mergeCell ref="M38:M40"/>
    <mergeCell ref="N38:N40"/>
    <mergeCell ref="O38:O40"/>
    <mergeCell ref="A3:A5"/>
    <mergeCell ref="B3:C3"/>
    <mergeCell ref="D3:E3"/>
    <mergeCell ref="F3:G3"/>
    <mergeCell ref="H3:I3"/>
    <mergeCell ref="J3:K3"/>
    <mergeCell ref="L3:M3"/>
    <mergeCell ref="N3:O3"/>
    <mergeCell ref="P3:Q3"/>
    <mergeCell ref="N4:O4"/>
    <mergeCell ref="P4:Q4"/>
    <mergeCell ref="B4:C4"/>
    <mergeCell ref="D4:E4"/>
    <mergeCell ref="F4:G4"/>
    <mergeCell ref="H4:I4"/>
    <mergeCell ref="J4:K4"/>
    <mergeCell ref="L4:M4"/>
    <mergeCell ref="B38:B40"/>
    <mergeCell ref="C38:C40"/>
    <mergeCell ref="D38:D40"/>
    <mergeCell ref="E38:E40"/>
    <mergeCell ref="F38:F40"/>
    <mergeCell ref="B48:C48"/>
    <mergeCell ref="D48:E48"/>
    <mergeCell ref="F48:G48"/>
    <mergeCell ref="H48:I48"/>
    <mergeCell ref="P48:Q48"/>
    <mergeCell ref="A47:A49"/>
    <mergeCell ref="B47:C47"/>
    <mergeCell ref="D47:E47"/>
    <mergeCell ref="F47:G47"/>
    <mergeCell ref="H47:I47"/>
    <mergeCell ref="J47:K47"/>
    <mergeCell ref="P82:P84"/>
    <mergeCell ref="Q82:Q84"/>
    <mergeCell ref="G82:G84"/>
    <mergeCell ref="H82:H84"/>
    <mergeCell ref="I82:I84"/>
    <mergeCell ref="J82:J84"/>
    <mergeCell ref="K82:K84"/>
    <mergeCell ref="L82:L84"/>
    <mergeCell ref="P47:Q47"/>
    <mergeCell ref="L47:M47"/>
    <mergeCell ref="N47:O47"/>
    <mergeCell ref="J48:K48"/>
    <mergeCell ref="L48:M48"/>
    <mergeCell ref="N48:O48"/>
    <mergeCell ref="A91:A93"/>
    <mergeCell ref="B91:C91"/>
    <mergeCell ref="D91:E91"/>
    <mergeCell ref="F91:G91"/>
    <mergeCell ref="H91:I91"/>
    <mergeCell ref="J91:K91"/>
    <mergeCell ref="M82:M84"/>
    <mergeCell ref="N82:N84"/>
    <mergeCell ref="O82:O84"/>
    <mergeCell ref="L91:M91"/>
    <mergeCell ref="N91:O91"/>
    <mergeCell ref="B82:B84"/>
    <mergeCell ref="C82:C84"/>
    <mergeCell ref="D82:D84"/>
    <mergeCell ref="E82:E84"/>
    <mergeCell ref="F82:F84"/>
    <mergeCell ref="N124:N125"/>
    <mergeCell ref="P91:Q91"/>
    <mergeCell ref="B92:C92"/>
    <mergeCell ref="D92:E92"/>
    <mergeCell ref="F92:G92"/>
    <mergeCell ref="H92:I92"/>
    <mergeCell ref="J92:K92"/>
    <mergeCell ref="L92:M92"/>
    <mergeCell ref="N92:O92"/>
    <mergeCell ref="P92:Q92"/>
    <mergeCell ref="A1:S2"/>
    <mergeCell ref="R47:S47"/>
    <mergeCell ref="R48:S48"/>
    <mergeCell ref="R82:R84"/>
    <mergeCell ref="S82:S84"/>
    <mergeCell ref="A45:S46"/>
    <mergeCell ref="Q127:Q129"/>
    <mergeCell ref="G127:G129"/>
    <mergeCell ref="H127:H129"/>
    <mergeCell ref="I127:I129"/>
    <mergeCell ref="J127:J129"/>
    <mergeCell ref="K127:K129"/>
    <mergeCell ref="L127:L129"/>
    <mergeCell ref="B127:B129"/>
    <mergeCell ref="C127:C129"/>
    <mergeCell ref="D127:D129"/>
    <mergeCell ref="E127:E129"/>
    <mergeCell ref="F127:F129"/>
    <mergeCell ref="M127:M129"/>
    <mergeCell ref="N127:N129"/>
    <mergeCell ref="O127:O129"/>
    <mergeCell ref="P127:P129"/>
    <mergeCell ref="O124:O125"/>
    <mergeCell ref="P124:P125"/>
    <mergeCell ref="R91:S91"/>
    <mergeCell ref="R92:S92"/>
    <mergeCell ref="R124:R125"/>
    <mergeCell ref="S124:S125"/>
    <mergeCell ref="R127:R129"/>
    <mergeCell ref="S127:S129"/>
    <mergeCell ref="A89:S90"/>
    <mergeCell ref="R3:S3"/>
    <mergeCell ref="R4:S4"/>
    <mergeCell ref="R38:R40"/>
    <mergeCell ref="S38:S40"/>
    <mergeCell ref="Q124:Q125"/>
    <mergeCell ref="K124:K125"/>
    <mergeCell ref="L124:L125"/>
    <mergeCell ref="B124:B125"/>
    <mergeCell ref="C124:C125"/>
    <mergeCell ref="D124:D125"/>
    <mergeCell ref="G124:G125"/>
    <mergeCell ref="H124:H125"/>
    <mergeCell ref="I124:I125"/>
    <mergeCell ref="J124:J125"/>
    <mergeCell ref="E124:E125"/>
    <mergeCell ref="F124:F125"/>
    <mergeCell ref="M124:M125"/>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S129"/>
  <sheetViews>
    <sheetView topLeftCell="A73" zoomScale="80" zoomScaleNormal="80" workbookViewId="0">
      <selection activeCell="B95" sqref="B95"/>
    </sheetView>
  </sheetViews>
  <sheetFormatPr defaultRowHeight="15"/>
  <cols>
    <col min="1" max="19" width="11.7109375" customWidth="1"/>
  </cols>
  <sheetData>
    <row r="1" spans="1:19" ht="15" customHeight="1">
      <c r="A1" s="161" t="s">
        <v>19</v>
      </c>
      <c r="B1" s="162"/>
      <c r="C1" s="162"/>
      <c r="D1" s="162"/>
      <c r="E1" s="162"/>
      <c r="F1" s="162"/>
      <c r="G1" s="162"/>
      <c r="H1" s="162"/>
      <c r="I1" s="162"/>
      <c r="J1" s="162"/>
      <c r="K1" s="162"/>
      <c r="L1" s="162"/>
      <c r="M1" s="162"/>
      <c r="N1" s="162"/>
      <c r="O1" s="162"/>
      <c r="P1" s="162"/>
      <c r="Q1" s="162"/>
      <c r="R1" s="162"/>
      <c r="S1" s="163"/>
    </row>
    <row r="2" spans="1:19" ht="15.75" customHeight="1" thickBot="1">
      <c r="A2" s="167"/>
      <c r="B2" s="168"/>
      <c r="C2" s="168"/>
      <c r="D2" s="168"/>
      <c r="E2" s="168"/>
      <c r="F2" s="168"/>
      <c r="G2" s="168"/>
      <c r="H2" s="168"/>
      <c r="I2" s="168"/>
      <c r="J2" s="168"/>
      <c r="K2" s="168"/>
      <c r="L2" s="168"/>
      <c r="M2" s="168"/>
      <c r="N2" s="168"/>
      <c r="O2" s="168"/>
      <c r="P2" s="168"/>
      <c r="Q2" s="168"/>
      <c r="R2" s="168"/>
      <c r="S2" s="169"/>
    </row>
    <row r="3" spans="1:19">
      <c r="A3" s="170" t="s">
        <v>15</v>
      </c>
      <c r="B3" s="171" t="s">
        <v>10</v>
      </c>
      <c r="C3" s="171"/>
      <c r="D3" s="171" t="s">
        <v>10</v>
      </c>
      <c r="E3" s="171"/>
      <c r="F3" s="171" t="s">
        <v>10</v>
      </c>
      <c r="G3" s="171"/>
      <c r="H3" s="171" t="s">
        <v>10</v>
      </c>
      <c r="I3" s="171"/>
      <c r="J3" s="171" t="s">
        <v>10</v>
      </c>
      <c r="K3" s="171"/>
      <c r="L3" s="171" t="s">
        <v>10</v>
      </c>
      <c r="M3" s="171"/>
      <c r="N3" s="171" t="s">
        <v>10</v>
      </c>
      <c r="O3" s="171"/>
      <c r="P3" s="171" t="s">
        <v>10</v>
      </c>
      <c r="Q3" s="172"/>
      <c r="R3" s="137" t="s">
        <v>10</v>
      </c>
      <c r="S3" s="138"/>
    </row>
    <row r="4" spans="1:19" ht="18.75">
      <c r="A4" s="152"/>
      <c r="B4" s="139" t="str">
        <f>TABELA!K10</f>
        <v>SAVO RAIČEVIĆ</v>
      </c>
      <c r="C4" s="139"/>
      <c r="D4" s="139" t="str">
        <f>TABELA!K11</f>
        <v>NIKOLA TREBJEŠANIN</v>
      </c>
      <c r="E4" s="139"/>
      <c r="F4" s="139" t="str">
        <f>TABELA!K12</f>
        <v>MILUN ĐUROVIĆ</v>
      </c>
      <c r="G4" s="139"/>
      <c r="H4" s="139" t="str">
        <f>TABELA!K13</f>
        <v>DAMIR CANOVIĆ</v>
      </c>
      <c r="I4" s="139"/>
      <c r="J4" s="139" t="str">
        <f>TABELA!K14</f>
        <v>ALEKSANDAR GAŠEVIĆ</v>
      </c>
      <c r="K4" s="139"/>
      <c r="L4" s="139" t="str">
        <f>TABELA!K15</f>
        <v>BOGDAN MARKOVIĆ</v>
      </c>
      <c r="M4" s="139"/>
      <c r="N4" s="139" t="str">
        <f>TABELA!K16</f>
        <v>MARKO BAKIĆ</v>
      </c>
      <c r="O4" s="139"/>
      <c r="P4" s="139" t="str">
        <f>TABELA!K17</f>
        <v>MUMIN HEKALO</v>
      </c>
      <c r="Q4" s="151"/>
      <c r="R4" s="139" t="str">
        <f>TABELA!K18</f>
        <v>IVICA RAJKOVIĆ</v>
      </c>
      <c r="S4" s="140"/>
    </row>
    <row r="5" spans="1:19">
      <c r="A5" s="152"/>
      <c r="B5" s="25" t="s">
        <v>12</v>
      </c>
      <c r="C5" s="25" t="s">
        <v>13</v>
      </c>
      <c r="D5" s="25" t="s">
        <v>12</v>
      </c>
      <c r="E5" s="25" t="s">
        <v>13</v>
      </c>
      <c r="F5" s="25" t="s">
        <v>12</v>
      </c>
      <c r="G5" s="25" t="s">
        <v>13</v>
      </c>
      <c r="H5" s="25" t="s">
        <v>12</v>
      </c>
      <c r="I5" s="25" t="s">
        <v>13</v>
      </c>
      <c r="J5" s="25" t="s">
        <v>12</v>
      </c>
      <c r="K5" s="25" t="s">
        <v>13</v>
      </c>
      <c r="L5" s="25" t="s">
        <v>12</v>
      </c>
      <c r="M5" s="25" t="s">
        <v>13</v>
      </c>
      <c r="N5" s="25" t="s">
        <v>12</v>
      </c>
      <c r="O5" s="25" t="s">
        <v>13</v>
      </c>
      <c r="P5" s="25" t="s">
        <v>12</v>
      </c>
      <c r="Q5" s="26" t="s">
        <v>13</v>
      </c>
      <c r="R5" s="25" t="s">
        <v>12</v>
      </c>
      <c r="S5" s="27" t="s">
        <v>13</v>
      </c>
    </row>
    <row r="6" spans="1:19">
      <c r="A6" s="28">
        <v>1</v>
      </c>
      <c r="B6" s="25"/>
      <c r="C6" s="25">
        <f>IF(B6,B6*20+100,0)</f>
        <v>0</v>
      </c>
      <c r="D6" s="25">
        <v>27</v>
      </c>
      <c r="E6" s="25">
        <f>IF(D6,D6*20+100,0)</f>
        <v>640</v>
      </c>
      <c r="F6" s="25">
        <v>24</v>
      </c>
      <c r="G6" s="25">
        <f>IF(F6,F6*20+100,0)</f>
        <v>580</v>
      </c>
      <c r="H6" s="25">
        <v>21</v>
      </c>
      <c r="I6" s="25">
        <f>IF(H6,H6*20+100,0)</f>
        <v>520</v>
      </c>
      <c r="J6" s="25">
        <v>30</v>
      </c>
      <c r="K6" s="25">
        <f>IF(J6,J6*20+100,0)</f>
        <v>700</v>
      </c>
      <c r="L6" s="25">
        <v>43</v>
      </c>
      <c r="M6" s="25">
        <f>IF(L6,L6*20+100,0)</f>
        <v>960</v>
      </c>
      <c r="N6" s="25"/>
      <c r="O6" s="25">
        <f>IF(N6,N6*20+100,0)</f>
        <v>0</v>
      </c>
      <c r="P6" s="25"/>
      <c r="Q6" s="26">
        <f>IF(P6,P6*20+100,0)</f>
        <v>0</v>
      </c>
      <c r="R6" s="25">
        <v>20</v>
      </c>
      <c r="S6" s="27">
        <f>IF(R6,R6*20+100,0)</f>
        <v>500</v>
      </c>
    </row>
    <row r="7" spans="1:19">
      <c r="A7" s="28">
        <v>2</v>
      </c>
      <c r="B7" s="25"/>
      <c r="C7" s="25">
        <f t="shared" ref="C7:C35" si="0">IF(B7,B7*20+100,0)</f>
        <v>0</v>
      </c>
      <c r="D7" s="25"/>
      <c r="E7" s="25">
        <f t="shared" ref="E7:E35" si="1">IF(D7,D7*20+100,0)</f>
        <v>0</v>
      </c>
      <c r="F7" s="25"/>
      <c r="G7" s="25">
        <f t="shared" ref="G7:G35" si="2">IF(F7,F7*20+100,0)</f>
        <v>0</v>
      </c>
      <c r="H7" s="25"/>
      <c r="I7" s="25">
        <f t="shared" ref="I7:I35" si="3">IF(H7,H7*20+100,0)</f>
        <v>0</v>
      </c>
      <c r="J7" s="25">
        <v>26</v>
      </c>
      <c r="K7" s="25">
        <f t="shared" ref="K7:K35" si="4">IF(J7,J7*20+100,0)</f>
        <v>620</v>
      </c>
      <c r="L7" s="25">
        <v>37</v>
      </c>
      <c r="M7" s="25">
        <f t="shared" ref="M7:M35" si="5">IF(L7,L7*20+100,0)</f>
        <v>840</v>
      </c>
      <c r="N7" s="25"/>
      <c r="O7" s="25">
        <f t="shared" ref="O7:O35" si="6">IF(N7,N7*20+100,0)</f>
        <v>0</v>
      </c>
      <c r="P7" s="25"/>
      <c r="Q7" s="26">
        <f t="shared" ref="Q7:Q35" si="7">IF(P7,P7*20+100,0)</f>
        <v>0</v>
      </c>
      <c r="R7" s="25">
        <v>20</v>
      </c>
      <c r="S7" s="27">
        <f t="shared" ref="S7:S35" si="8">IF(R7,R7*20+100,0)</f>
        <v>500</v>
      </c>
    </row>
    <row r="8" spans="1:19">
      <c r="A8" s="28">
        <v>3</v>
      </c>
      <c r="B8" s="25"/>
      <c r="C8" s="25">
        <f t="shared" si="0"/>
        <v>0</v>
      </c>
      <c r="D8" s="25"/>
      <c r="E8" s="25">
        <f t="shared" si="1"/>
        <v>0</v>
      </c>
      <c r="F8" s="25"/>
      <c r="G8" s="25">
        <f t="shared" si="2"/>
        <v>0</v>
      </c>
      <c r="H8" s="25"/>
      <c r="I8" s="25">
        <f t="shared" si="3"/>
        <v>0</v>
      </c>
      <c r="J8" s="25">
        <v>30</v>
      </c>
      <c r="K8" s="25">
        <f t="shared" si="4"/>
        <v>700</v>
      </c>
      <c r="L8" s="25"/>
      <c r="M8" s="25">
        <f t="shared" si="5"/>
        <v>0</v>
      </c>
      <c r="N8" s="25"/>
      <c r="O8" s="25">
        <f t="shared" si="6"/>
        <v>0</v>
      </c>
      <c r="P8" s="25"/>
      <c r="Q8" s="26">
        <f t="shared" si="7"/>
        <v>0</v>
      </c>
      <c r="R8" s="25">
        <v>29</v>
      </c>
      <c r="S8" s="27">
        <f t="shared" si="8"/>
        <v>680</v>
      </c>
    </row>
    <row r="9" spans="1:19">
      <c r="A9" s="28">
        <v>4</v>
      </c>
      <c r="B9" s="25"/>
      <c r="C9" s="25">
        <f t="shared" si="0"/>
        <v>0</v>
      </c>
      <c r="D9" s="25"/>
      <c r="E9" s="25">
        <f t="shared" si="1"/>
        <v>0</v>
      </c>
      <c r="F9" s="25"/>
      <c r="G9" s="25">
        <f t="shared" si="2"/>
        <v>0</v>
      </c>
      <c r="H9" s="25"/>
      <c r="I9" s="25">
        <f t="shared" si="3"/>
        <v>0</v>
      </c>
      <c r="J9" s="25">
        <v>26</v>
      </c>
      <c r="K9" s="25">
        <f t="shared" si="4"/>
        <v>620</v>
      </c>
      <c r="L9" s="25"/>
      <c r="M9" s="25">
        <f t="shared" si="5"/>
        <v>0</v>
      </c>
      <c r="N9" s="25"/>
      <c r="O9" s="25">
        <f t="shared" si="6"/>
        <v>0</v>
      </c>
      <c r="P9" s="25"/>
      <c r="Q9" s="26">
        <f t="shared" si="7"/>
        <v>0</v>
      </c>
      <c r="R9" s="25">
        <v>28</v>
      </c>
      <c r="S9" s="27">
        <f t="shared" si="8"/>
        <v>660</v>
      </c>
    </row>
    <row r="10" spans="1:19">
      <c r="A10" s="28">
        <v>5</v>
      </c>
      <c r="B10" s="25"/>
      <c r="C10" s="25">
        <f t="shared" si="0"/>
        <v>0</v>
      </c>
      <c r="D10" s="25"/>
      <c r="E10" s="25">
        <f t="shared" si="1"/>
        <v>0</v>
      </c>
      <c r="F10" s="25"/>
      <c r="G10" s="25">
        <f t="shared" si="2"/>
        <v>0</v>
      </c>
      <c r="H10" s="25"/>
      <c r="I10" s="25">
        <f t="shared" si="3"/>
        <v>0</v>
      </c>
      <c r="J10" s="25">
        <v>30</v>
      </c>
      <c r="K10" s="25">
        <f t="shared" si="4"/>
        <v>700</v>
      </c>
      <c r="L10" s="25"/>
      <c r="M10" s="25">
        <f t="shared" si="5"/>
        <v>0</v>
      </c>
      <c r="N10" s="25"/>
      <c r="O10" s="25">
        <f t="shared" si="6"/>
        <v>0</v>
      </c>
      <c r="P10" s="25"/>
      <c r="Q10" s="26">
        <f t="shared" si="7"/>
        <v>0</v>
      </c>
      <c r="R10" s="25">
        <v>28</v>
      </c>
      <c r="S10" s="27">
        <f t="shared" si="8"/>
        <v>660</v>
      </c>
    </row>
    <row r="11" spans="1:19">
      <c r="A11" s="28">
        <v>6</v>
      </c>
      <c r="B11" s="25"/>
      <c r="C11" s="25">
        <f t="shared" si="0"/>
        <v>0</v>
      </c>
      <c r="D11" s="25"/>
      <c r="E11" s="25">
        <f t="shared" si="1"/>
        <v>0</v>
      </c>
      <c r="F11" s="25"/>
      <c r="G11" s="25">
        <f t="shared" si="2"/>
        <v>0</v>
      </c>
      <c r="H11" s="25"/>
      <c r="I11" s="25">
        <f t="shared" si="3"/>
        <v>0</v>
      </c>
      <c r="J11" s="25">
        <v>23</v>
      </c>
      <c r="K11" s="25">
        <f t="shared" si="4"/>
        <v>560</v>
      </c>
      <c r="L11" s="25"/>
      <c r="M11" s="25">
        <f t="shared" si="5"/>
        <v>0</v>
      </c>
      <c r="N11" s="25"/>
      <c r="O11" s="25">
        <f t="shared" si="6"/>
        <v>0</v>
      </c>
      <c r="P11" s="25"/>
      <c r="Q11" s="26">
        <f t="shared" si="7"/>
        <v>0</v>
      </c>
      <c r="R11" s="25">
        <v>20</v>
      </c>
      <c r="S11" s="27">
        <f t="shared" si="8"/>
        <v>500</v>
      </c>
    </row>
    <row r="12" spans="1:19">
      <c r="A12" s="28">
        <v>7</v>
      </c>
      <c r="B12" s="25"/>
      <c r="C12" s="25">
        <f t="shared" si="0"/>
        <v>0</v>
      </c>
      <c r="D12" s="25"/>
      <c r="E12" s="25">
        <f t="shared" si="1"/>
        <v>0</v>
      </c>
      <c r="F12" s="25"/>
      <c r="G12" s="25">
        <f t="shared" si="2"/>
        <v>0</v>
      </c>
      <c r="H12" s="25"/>
      <c r="I12" s="25">
        <f t="shared" si="3"/>
        <v>0</v>
      </c>
      <c r="J12" s="25">
        <v>22</v>
      </c>
      <c r="K12" s="25">
        <f t="shared" si="4"/>
        <v>540</v>
      </c>
      <c r="L12" s="25"/>
      <c r="M12" s="25">
        <f t="shared" si="5"/>
        <v>0</v>
      </c>
      <c r="N12" s="25"/>
      <c r="O12" s="25">
        <f t="shared" si="6"/>
        <v>0</v>
      </c>
      <c r="P12" s="25"/>
      <c r="Q12" s="26">
        <f t="shared" si="7"/>
        <v>0</v>
      </c>
      <c r="R12" s="25"/>
      <c r="S12" s="27">
        <f t="shared" si="8"/>
        <v>0</v>
      </c>
    </row>
    <row r="13" spans="1:19">
      <c r="A13" s="28">
        <v>8</v>
      </c>
      <c r="B13" s="25"/>
      <c r="C13" s="25">
        <f t="shared" si="0"/>
        <v>0</v>
      </c>
      <c r="D13" s="25"/>
      <c r="E13" s="25">
        <f t="shared" si="1"/>
        <v>0</v>
      </c>
      <c r="F13" s="25"/>
      <c r="G13" s="25">
        <f t="shared" si="2"/>
        <v>0</v>
      </c>
      <c r="H13" s="25"/>
      <c r="I13" s="25">
        <f t="shared" si="3"/>
        <v>0</v>
      </c>
      <c r="J13" s="25">
        <v>25</v>
      </c>
      <c r="K13" s="25">
        <f t="shared" si="4"/>
        <v>600</v>
      </c>
      <c r="L13" s="25"/>
      <c r="M13" s="25">
        <f t="shared" si="5"/>
        <v>0</v>
      </c>
      <c r="N13" s="25"/>
      <c r="O13" s="25">
        <f t="shared" si="6"/>
        <v>0</v>
      </c>
      <c r="P13" s="25"/>
      <c r="Q13" s="26">
        <f t="shared" si="7"/>
        <v>0</v>
      </c>
      <c r="R13" s="25"/>
      <c r="S13" s="27">
        <f t="shared" si="8"/>
        <v>0</v>
      </c>
    </row>
    <row r="14" spans="1:19">
      <c r="A14" s="28">
        <v>9</v>
      </c>
      <c r="B14" s="25"/>
      <c r="C14" s="25">
        <f t="shared" si="0"/>
        <v>0</v>
      </c>
      <c r="D14" s="25"/>
      <c r="E14" s="25">
        <f t="shared" si="1"/>
        <v>0</v>
      </c>
      <c r="F14" s="25"/>
      <c r="G14" s="25">
        <f t="shared" si="2"/>
        <v>0</v>
      </c>
      <c r="H14" s="25"/>
      <c r="I14" s="25">
        <f t="shared" si="3"/>
        <v>0</v>
      </c>
      <c r="J14" s="25"/>
      <c r="K14" s="25">
        <f t="shared" si="4"/>
        <v>0</v>
      </c>
      <c r="L14" s="25"/>
      <c r="M14" s="25">
        <f t="shared" si="5"/>
        <v>0</v>
      </c>
      <c r="N14" s="25"/>
      <c r="O14" s="25">
        <f t="shared" si="6"/>
        <v>0</v>
      </c>
      <c r="P14" s="25"/>
      <c r="Q14" s="26">
        <f t="shared" si="7"/>
        <v>0</v>
      </c>
      <c r="R14" s="25"/>
      <c r="S14" s="27">
        <f t="shared" si="8"/>
        <v>0</v>
      </c>
    </row>
    <row r="15" spans="1:19">
      <c r="A15" s="28">
        <v>10</v>
      </c>
      <c r="B15" s="25"/>
      <c r="C15" s="25">
        <f t="shared" si="0"/>
        <v>0</v>
      </c>
      <c r="D15" s="25"/>
      <c r="E15" s="25">
        <f t="shared" si="1"/>
        <v>0</v>
      </c>
      <c r="F15" s="25"/>
      <c r="G15" s="25">
        <f t="shared" si="2"/>
        <v>0</v>
      </c>
      <c r="H15" s="25"/>
      <c r="I15" s="25">
        <f t="shared" si="3"/>
        <v>0</v>
      </c>
      <c r="J15" s="25"/>
      <c r="K15" s="25">
        <f t="shared" si="4"/>
        <v>0</v>
      </c>
      <c r="L15" s="25"/>
      <c r="M15" s="25">
        <f t="shared" si="5"/>
        <v>0</v>
      </c>
      <c r="N15" s="25"/>
      <c r="O15" s="25">
        <f t="shared" si="6"/>
        <v>0</v>
      </c>
      <c r="P15" s="25"/>
      <c r="Q15" s="26">
        <f t="shared" si="7"/>
        <v>0</v>
      </c>
      <c r="R15" s="25"/>
      <c r="S15" s="27">
        <f t="shared" si="8"/>
        <v>0</v>
      </c>
    </row>
    <row r="16" spans="1:19">
      <c r="A16" s="28">
        <v>11</v>
      </c>
      <c r="B16" s="25"/>
      <c r="C16" s="25">
        <f t="shared" si="0"/>
        <v>0</v>
      </c>
      <c r="D16" s="25"/>
      <c r="E16" s="25">
        <f t="shared" si="1"/>
        <v>0</v>
      </c>
      <c r="F16" s="25"/>
      <c r="G16" s="25">
        <f t="shared" si="2"/>
        <v>0</v>
      </c>
      <c r="H16" s="25"/>
      <c r="I16" s="25">
        <f t="shared" si="3"/>
        <v>0</v>
      </c>
      <c r="J16" s="25"/>
      <c r="K16" s="25">
        <f t="shared" si="4"/>
        <v>0</v>
      </c>
      <c r="L16" s="25"/>
      <c r="M16" s="25">
        <f t="shared" si="5"/>
        <v>0</v>
      </c>
      <c r="N16" s="25"/>
      <c r="O16" s="25">
        <f t="shared" si="6"/>
        <v>0</v>
      </c>
      <c r="P16" s="25"/>
      <c r="Q16" s="26">
        <f t="shared" si="7"/>
        <v>0</v>
      </c>
      <c r="R16" s="25"/>
      <c r="S16" s="27">
        <f t="shared" si="8"/>
        <v>0</v>
      </c>
    </row>
    <row r="17" spans="1:19">
      <c r="A17" s="28">
        <v>12</v>
      </c>
      <c r="B17" s="25"/>
      <c r="C17" s="25">
        <f t="shared" si="0"/>
        <v>0</v>
      </c>
      <c r="D17" s="25"/>
      <c r="E17" s="25">
        <f t="shared" si="1"/>
        <v>0</v>
      </c>
      <c r="F17" s="25"/>
      <c r="G17" s="25">
        <f t="shared" si="2"/>
        <v>0</v>
      </c>
      <c r="H17" s="25"/>
      <c r="I17" s="25">
        <f t="shared" si="3"/>
        <v>0</v>
      </c>
      <c r="J17" s="25"/>
      <c r="K17" s="25">
        <f t="shared" si="4"/>
        <v>0</v>
      </c>
      <c r="L17" s="25"/>
      <c r="M17" s="25">
        <f t="shared" si="5"/>
        <v>0</v>
      </c>
      <c r="N17" s="25"/>
      <c r="O17" s="25">
        <f t="shared" si="6"/>
        <v>0</v>
      </c>
      <c r="P17" s="25"/>
      <c r="Q17" s="26">
        <f t="shared" si="7"/>
        <v>0</v>
      </c>
      <c r="R17" s="25"/>
      <c r="S17" s="27">
        <f t="shared" si="8"/>
        <v>0</v>
      </c>
    </row>
    <row r="18" spans="1:19">
      <c r="A18" s="28">
        <v>13</v>
      </c>
      <c r="B18" s="25"/>
      <c r="C18" s="25">
        <f t="shared" si="0"/>
        <v>0</v>
      </c>
      <c r="D18" s="25"/>
      <c r="E18" s="25">
        <f t="shared" si="1"/>
        <v>0</v>
      </c>
      <c r="F18" s="25"/>
      <c r="G18" s="25">
        <f t="shared" si="2"/>
        <v>0</v>
      </c>
      <c r="H18" s="25"/>
      <c r="I18" s="25">
        <f t="shared" si="3"/>
        <v>0</v>
      </c>
      <c r="J18" s="25"/>
      <c r="K18" s="25">
        <f t="shared" si="4"/>
        <v>0</v>
      </c>
      <c r="L18" s="25"/>
      <c r="M18" s="25">
        <f t="shared" si="5"/>
        <v>0</v>
      </c>
      <c r="N18" s="25"/>
      <c r="O18" s="25">
        <f t="shared" si="6"/>
        <v>0</v>
      </c>
      <c r="P18" s="25"/>
      <c r="Q18" s="26">
        <f t="shared" si="7"/>
        <v>0</v>
      </c>
      <c r="R18" s="25"/>
      <c r="S18" s="27">
        <f t="shared" si="8"/>
        <v>0</v>
      </c>
    </row>
    <row r="19" spans="1:19">
      <c r="A19" s="28">
        <v>14</v>
      </c>
      <c r="B19" s="25"/>
      <c r="C19" s="25">
        <f t="shared" si="0"/>
        <v>0</v>
      </c>
      <c r="D19" s="25"/>
      <c r="E19" s="25">
        <f t="shared" si="1"/>
        <v>0</v>
      </c>
      <c r="F19" s="25"/>
      <c r="G19" s="25">
        <f t="shared" si="2"/>
        <v>0</v>
      </c>
      <c r="H19" s="25"/>
      <c r="I19" s="25">
        <f t="shared" si="3"/>
        <v>0</v>
      </c>
      <c r="J19" s="25"/>
      <c r="K19" s="25">
        <f t="shared" si="4"/>
        <v>0</v>
      </c>
      <c r="L19" s="25"/>
      <c r="M19" s="25">
        <f t="shared" si="5"/>
        <v>0</v>
      </c>
      <c r="N19" s="25"/>
      <c r="O19" s="25">
        <f t="shared" si="6"/>
        <v>0</v>
      </c>
      <c r="P19" s="25"/>
      <c r="Q19" s="26">
        <f t="shared" si="7"/>
        <v>0</v>
      </c>
      <c r="R19" s="25"/>
      <c r="S19" s="27">
        <f t="shared" si="8"/>
        <v>0</v>
      </c>
    </row>
    <row r="20" spans="1:19">
      <c r="A20" s="28">
        <v>15</v>
      </c>
      <c r="B20" s="25"/>
      <c r="C20" s="25">
        <f t="shared" si="0"/>
        <v>0</v>
      </c>
      <c r="D20" s="25"/>
      <c r="E20" s="25">
        <f t="shared" si="1"/>
        <v>0</v>
      </c>
      <c r="F20" s="25"/>
      <c r="G20" s="25">
        <f t="shared" si="2"/>
        <v>0</v>
      </c>
      <c r="H20" s="25"/>
      <c r="I20" s="25">
        <f t="shared" si="3"/>
        <v>0</v>
      </c>
      <c r="J20" s="25"/>
      <c r="K20" s="25">
        <f t="shared" si="4"/>
        <v>0</v>
      </c>
      <c r="L20" s="25"/>
      <c r="M20" s="25">
        <f t="shared" si="5"/>
        <v>0</v>
      </c>
      <c r="N20" s="25"/>
      <c r="O20" s="25">
        <f t="shared" si="6"/>
        <v>0</v>
      </c>
      <c r="P20" s="25"/>
      <c r="Q20" s="26">
        <f t="shared" si="7"/>
        <v>0</v>
      </c>
      <c r="R20" s="25"/>
      <c r="S20" s="27">
        <f t="shared" si="8"/>
        <v>0</v>
      </c>
    </row>
    <row r="21" spans="1:19">
      <c r="A21" s="28">
        <v>16</v>
      </c>
      <c r="B21" s="25"/>
      <c r="C21" s="25">
        <f t="shared" si="0"/>
        <v>0</v>
      </c>
      <c r="D21" s="25"/>
      <c r="E21" s="25">
        <f t="shared" si="1"/>
        <v>0</v>
      </c>
      <c r="F21" s="25"/>
      <c r="G21" s="25">
        <f t="shared" si="2"/>
        <v>0</v>
      </c>
      <c r="H21" s="25"/>
      <c r="I21" s="25">
        <f t="shared" si="3"/>
        <v>0</v>
      </c>
      <c r="J21" s="25"/>
      <c r="K21" s="25">
        <f t="shared" si="4"/>
        <v>0</v>
      </c>
      <c r="L21" s="25"/>
      <c r="M21" s="25">
        <f t="shared" si="5"/>
        <v>0</v>
      </c>
      <c r="N21" s="25"/>
      <c r="O21" s="25">
        <f t="shared" si="6"/>
        <v>0</v>
      </c>
      <c r="P21" s="25"/>
      <c r="Q21" s="26">
        <f t="shared" si="7"/>
        <v>0</v>
      </c>
      <c r="R21" s="25"/>
      <c r="S21" s="27">
        <f t="shared" si="8"/>
        <v>0</v>
      </c>
    </row>
    <row r="22" spans="1:19">
      <c r="A22" s="28">
        <v>17</v>
      </c>
      <c r="B22" s="25"/>
      <c r="C22" s="25">
        <f t="shared" si="0"/>
        <v>0</v>
      </c>
      <c r="D22" s="25"/>
      <c r="E22" s="25">
        <f t="shared" si="1"/>
        <v>0</v>
      </c>
      <c r="F22" s="25"/>
      <c r="G22" s="25">
        <f t="shared" si="2"/>
        <v>0</v>
      </c>
      <c r="H22" s="25"/>
      <c r="I22" s="25">
        <f t="shared" si="3"/>
        <v>0</v>
      </c>
      <c r="J22" s="25"/>
      <c r="K22" s="25">
        <f t="shared" si="4"/>
        <v>0</v>
      </c>
      <c r="L22" s="25"/>
      <c r="M22" s="25">
        <f t="shared" si="5"/>
        <v>0</v>
      </c>
      <c r="N22" s="25"/>
      <c r="O22" s="25">
        <f t="shared" si="6"/>
        <v>0</v>
      </c>
      <c r="P22" s="25"/>
      <c r="Q22" s="26">
        <f t="shared" si="7"/>
        <v>0</v>
      </c>
      <c r="R22" s="25"/>
      <c r="S22" s="27">
        <f t="shared" si="8"/>
        <v>0</v>
      </c>
    </row>
    <row r="23" spans="1:19">
      <c r="A23" s="28">
        <v>18</v>
      </c>
      <c r="B23" s="25"/>
      <c r="C23" s="25">
        <f t="shared" si="0"/>
        <v>0</v>
      </c>
      <c r="D23" s="25"/>
      <c r="E23" s="25">
        <f t="shared" si="1"/>
        <v>0</v>
      </c>
      <c r="F23" s="25"/>
      <c r="G23" s="25">
        <f t="shared" si="2"/>
        <v>0</v>
      </c>
      <c r="H23" s="25"/>
      <c r="I23" s="25">
        <f t="shared" si="3"/>
        <v>0</v>
      </c>
      <c r="J23" s="25"/>
      <c r="K23" s="25">
        <f t="shared" si="4"/>
        <v>0</v>
      </c>
      <c r="L23" s="25"/>
      <c r="M23" s="25">
        <f t="shared" si="5"/>
        <v>0</v>
      </c>
      <c r="N23" s="25"/>
      <c r="O23" s="25">
        <f t="shared" si="6"/>
        <v>0</v>
      </c>
      <c r="P23" s="25"/>
      <c r="Q23" s="26">
        <f t="shared" si="7"/>
        <v>0</v>
      </c>
      <c r="R23" s="25"/>
      <c r="S23" s="27">
        <f t="shared" si="8"/>
        <v>0</v>
      </c>
    </row>
    <row r="24" spans="1:19">
      <c r="A24" s="28">
        <v>19</v>
      </c>
      <c r="B24" s="25"/>
      <c r="C24" s="25">
        <f t="shared" si="0"/>
        <v>0</v>
      </c>
      <c r="D24" s="25"/>
      <c r="E24" s="25">
        <f t="shared" si="1"/>
        <v>0</v>
      </c>
      <c r="F24" s="25"/>
      <c r="G24" s="25">
        <f t="shared" si="2"/>
        <v>0</v>
      </c>
      <c r="H24" s="25"/>
      <c r="I24" s="25">
        <f t="shared" si="3"/>
        <v>0</v>
      </c>
      <c r="J24" s="25"/>
      <c r="K24" s="25">
        <f t="shared" si="4"/>
        <v>0</v>
      </c>
      <c r="L24" s="25"/>
      <c r="M24" s="25">
        <f t="shared" si="5"/>
        <v>0</v>
      </c>
      <c r="N24" s="25"/>
      <c r="O24" s="25">
        <f t="shared" si="6"/>
        <v>0</v>
      </c>
      <c r="P24" s="25"/>
      <c r="Q24" s="26">
        <f t="shared" si="7"/>
        <v>0</v>
      </c>
      <c r="R24" s="25"/>
      <c r="S24" s="27">
        <f t="shared" si="8"/>
        <v>0</v>
      </c>
    </row>
    <row r="25" spans="1:19">
      <c r="A25" s="28">
        <v>20</v>
      </c>
      <c r="B25" s="25"/>
      <c r="C25" s="25">
        <f t="shared" si="0"/>
        <v>0</v>
      </c>
      <c r="D25" s="25"/>
      <c r="E25" s="25">
        <f t="shared" si="1"/>
        <v>0</v>
      </c>
      <c r="F25" s="25"/>
      <c r="G25" s="25">
        <f t="shared" si="2"/>
        <v>0</v>
      </c>
      <c r="H25" s="25"/>
      <c r="I25" s="25">
        <f t="shared" si="3"/>
        <v>0</v>
      </c>
      <c r="J25" s="25"/>
      <c r="K25" s="25">
        <f t="shared" si="4"/>
        <v>0</v>
      </c>
      <c r="L25" s="25"/>
      <c r="M25" s="25">
        <f t="shared" si="5"/>
        <v>0</v>
      </c>
      <c r="N25" s="25"/>
      <c r="O25" s="25">
        <f t="shared" si="6"/>
        <v>0</v>
      </c>
      <c r="P25" s="25"/>
      <c r="Q25" s="26">
        <f t="shared" si="7"/>
        <v>0</v>
      </c>
      <c r="R25" s="25"/>
      <c r="S25" s="27">
        <f t="shared" si="8"/>
        <v>0</v>
      </c>
    </row>
    <row r="26" spans="1:19">
      <c r="A26" s="28">
        <v>21</v>
      </c>
      <c r="B26" s="25"/>
      <c r="C26" s="25">
        <f t="shared" si="0"/>
        <v>0</v>
      </c>
      <c r="D26" s="25"/>
      <c r="E26" s="25">
        <f t="shared" si="1"/>
        <v>0</v>
      </c>
      <c r="F26" s="25"/>
      <c r="G26" s="25">
        <f t="shared" si="2"/>
        <v>0</v>
      </c>
      <c r="H26" s="25"/>
      <c r="I26" s="25">
        <f t="shared" si="3"/>
        <v>0</v>
      </c>
      <c r="J26" s="25"/>
      <c r="K26" s="25">
        <f t="shared" si="4"/>
        <v>0</v>
      </c>
      <c r="L26" s="25"/>
      <c r="M26" s="25">
        <f t="shared" si="5"/>
        <v>0</v>
      </c>
      <c r="N26" s="25"/>
      <c r="O26" s="25">
        <f t="shared" si="6"/>
        <v>0</v>
      </c>
      <c r="P26" s="25"/>
      <c r="Q26" s="26">
        <f t="shared" si="7"/>
        <v>0</v>
      </c>
      <c r="R26" s="25"/>
      <c r="S26" s="27">
        <f t="shared" si="8"/>
        <v>0</v>
      </c>
    </row>
    <row r="27" spans="1:19">
      <c r="A27" s="28">
        <v>22</v>
      </c>
      <c r="B27" s="25"/>
      <c r="C27" s="25">
        <f t="shared" si="0"/>
        <v>0</v>
      </c>
      <c r="D27" s="25"/>
      <c r="E27" s="25">
        <f t="shared" si="1"/>
        <v>0</v>
      </c>
      <c r="F27" s="25"/>
      <c r="G27" s="25">
        <f t="shared" si="2"/>
        <v>0</v>
      </c>
      <c r="H27" s="25"/>
      <c r="I27" s="25">
        <f t="shared" si="3"/>
        <v>0</v>
      </c>
      <c r="J27" s="25"/>
      <c r="K27" s="25">
        <f t="shared" si="4"/>
        <v>0</v>
      </c>
      <c r="L27" s="25"/>
      <c r="M27" s="25">
        <f t="shared" si="5"/>
        <v>0</v>
      </c>
      <c r="N27" s="25"/>
      <c r="O27" s="25">
        <f t="shared" si="6"/>
        <v>0</v>
      </c>
      <c r="P27" s="25"/>
      <c r="Q27" s="26">
        <f t="shared" si="7"/>
        <v>0</v>
      </c>
      <c r="R27" s="25"/>
      <c r="S27" s="27">
        <f t="shared" si="8"/>
        <v>0</v>
      </c>
    </row>
    <row r="28" spans="1:19">
      <c r="A28" s="28">
        <v>23</v>
      </c>
      <c r="B28" s="25"/>
      <c r="C28" s="25">
        <f t="shared" si="0"/>
        <v>0</v>
      </c>
      <c r="D28" s="25"/>
      <c r="E28" s="25">
        <f t="shared" si="1"/>
        <v>0</v>
      </c>
      <c r="F28" s="25"/>
      <c r="G28" s="25">
        <f t="shared" si="2"/>
        <v>0</v>
      </c>
      <c r="H28" s="25"/>
      <c r="I28" s="25">
        <f t="shared" si="3"/>
        <v>0</v>
      </c>
      <c r="J28" s="25"/>
      <c r="K28" s="25">
        <f t="shared" si="4"/>
        <v>0</v>
      </c>
      <c r="L28" s="25"/>
      <c r="M28" s="25">
        <f t="shared" si="5"/>
        <v>0</v>
      </c>
      <c r="N28" s="25"/>
      <c r="O28" s="25">
        <f t="shared" si="6"/>
        <v>0</v>
      </c>
      <c r="P28" s="25"/>
      <c r="Q28" s="26">
        <f t="shared" si="7"/>
        <v>0</v>
      </c>
      <c r="R28" s="25"/>
      <c r="S28" s="27">
        <f t="shared" si="8"/>
        <v>0</v>
      </c>
    </row>
    <row r="29" spans="1:19">
      <c r="A29" s="28">
        <v>24</v>
      </c>
      <c r="B29" s="25"/>
      <c r="C29" s="25">
        <f t="shared" si="0"/>
        <v>0</v>
      </c>
      <c r="D29" s="25"/>
      <c r="E29" s="25">
        <f t="shared" si="1"/>
        <v>0</v>
      </c>
      <c r="F29" s="25"/>
      <c r="G29" s="25">
        <f t="shared" si="2"/>
        <v>0</v>
      </c>
      <c r="H29" s="25"/>
      <c r="I29" s="25">
        <f t="shared" si="3"/>
        <v>0</v>
      </c>
      <c r="J29" s="25"/>
      <c r="K29" s="25">
        <f t="shared" si="4"/>
        <v>0</v>
      </c>
      <c r="L29" s="25"/>
      <c r="M29" s="25">
        <f t="shared" si="5"/>
        <v>0</v>
      </c>
      <c r="N29" s="25"/>
      <c r="O29" s="25">
        <f t="shared" si="6"/>
        <v>0</v>
      </c>
      <c r="P29" s="25"/>
      <c r="Q29" s="26">
        <f t="shared" si="7"/>
        <v>0</v>
      </c>
      <c r="R29" s="25"/>
      <c r="S29" s="27">
        <f t="shared" si="8"/>
        <v>0</v>
      </c>
    </row>
    <row r="30" spans="1:19">
      <c r="A30" s="28">
        <v>25</v>
      </c>
      <c r="B30" s="25"/>
      <c r="C30" s="25">
        <f t="shared" si="0"/>
        <v>0</v>
      </c>
      <c r="D30" s="25"/>
      <c r="E30" s="25">
        <f t="shared" si="1"/>
        <v>0</v>
      </c>
      <c r="F30" s="25"/>
      <c r="G30" s="25">
        <f t="shared" si="2"/>
        <v>0</v>
      </c>
      <c r="H30" s="25"/>
      <c r="I30" s="25">
        <f t="shared" si="3"/>
        <v>0</v>
      </c>
      <c r="J30" s="25"/>
      <c r="K30" s="25">
        <f t="shared" si="4"/>
        <v>0</v>
      </c>
      <c r="L30" s="25"/>
      <c r="M30" s="25">
        <f t="shared" si="5"/>
        <v>0</v>
      </c>
      <c r="N30" s="25"/>
      <c r="O30" s="25">
        <f t="shared" si="6"/>
        <v>0</v>
      </c>
      <c r="P30" s="25"/>
      <c r="Q30" s="26">
        <f t="shared" si="7"/>
        <v>0</v>
      </c>
      <c r="R30" s="25"/>
      <c r="S30" s="27">
        <f t="shared" si="8"/>
        <v>0</v>
      </c>
    </row>
    <row r="31" spans="1:19">
      <c r="A31" s="28">
        <v>26</v>
      </c>
      <c r="B31" s="25"/>
      <c r="C31" s="25">
        <f t="shared" si="0"/>
        <v>0</v>
      </c>
      <c r="D31" s="25"/>
      <c r="E31" s="25">
        <f t="shared" si="1"/>
        <v>0</v>
      </c>
      <c r="F31" s="25"/>
      <c r="G31" s="25">
        <f t="shared" si="2"/>
        <v>0</v>
      </c>
      <c r="H31" s="25"/>
      <c r="I31" s="25">
        <f t="shared" si="3"/>
        <v>0</v>
      </c>
      <c r="J31" s="25"/>
      <c r="K31" s="25">
        <f t="shared" si="4"/>
        <v>0</v>
      </c>
      <c r="L31" s="25"/>
      <c r="M31" s="25">
        <f t="shared" si="5"/>
        <v>0</v>
      </c>
      <c r="N31" s="25"/>
      <c r="O31" s="25">
        <f t="shared" si="6"/>
        <v>0</v>
      </c>
      <c r="P31" s="25"/>
      <c r="Q31" s="26">
        <f t="shared" si="7"/>
        <v>0</v>
      </c>
      <c r="R31" s="25"/>
      <c r="S31" s="27">
        <f t="shared" si="8"/>
        <v>0</v>
      </c>
    </row>
    <row r="32" spans="1:19">
      <c r="A32" s="28">
        <v>27</v>
      </c>
      <c r="B32" s="25"/>
      <c r="C32" s="25">
        <f t="shared" si="0"/>
        <v>0</v>
      </c>
      <c r="D32" s="25"/>
      <c r="E32" s="25">
        <f t="shared" si="1"/>
        <v>0</v>
      </c>
      <c r="F32" s="25"/>
      <c r="G32" s="25">
        <f t="shared" si="2"/>
        <v>0</v>
      </c>
      <c r="H32" s="25"/>
      <c r="I32" s="25">
        <f t="shared" si="3"/>
        <v>0</v>
      </c>
      <c r="J32" s="25"/>
      <c r="K32" s="25">
        <f t="shared" si="4"/>
        <v>0</v>
      </c>
      <c r="L32" s="25"/>
      <c r="M32" s="25">
        <f t="shared" si="5"/>
        <v>0</v>
      </c>
      <c r="N32" s="25"/>
      <c r="O32" s="25">
        <f t="shared" si="6"/>
        <v>0</v>
      </c>
      <c r="P32" s="25"/>
      <c r="Q32" s="26">
        <f t="shared" si="7"/>
        <v>0</v>
      </c>
      <c r="R32" s="25"/>
      <c r="S32" s="27">
        <f t="shared" si="8"/>
        <v>0</v>
      </c>
    </row>
    <row r="33" spans="1:19">
      <c r="A33" s="28">
        <v>28</v>
      </c>
      <c r="B33" s="25"/>
      <c r="C33" s="25">
        <f t="shared" si="0"/>
        <v>0</v>
      </c>
      <c r="D33" s="25"/>
      <c r="E33" s="25">
        <f t="shared" si="1"/>
        <v>0</v>
      </c>
      <c r="F33" s="25"/>
      <c r="G33" s="25">
        <f t="shared" si="2"/>
        <v>0</v>
      </c>
      <c r="H33" s="25"/>
      <c r="I33" s="25">
        <f t="shared" si="3"/>
        <v>0</v>
      </c>
      <c r="J33" s="25"/>
      <c r="K33" s="25">
        <f t="shared" si="4"/>
        <v>0</v>
      </c>
      <c r="L33" s="25"/>
      <c r="M33" s="25">
        <f t="shared" si="5"/>
        <v>0</v>
      </c>
      <c r="N33" s="25"/>
      <c r="O33" s="25">
        <f t="shared" si="6"/>
        <v>0</v>
      </c>
      <c r="P33" s="25"/>
      <c r="Q33" s="26">
        <f t="shared" si="7"/>
        <v>0</v>
      </c>
      <c r="R33" s="25"/>
      <c r="S33" s="27">
        <f t="shared" si="8"/>
        <v>0</v>
      </c>
    </row>
    <row r="34" spans="1:19">
      <c r="A34" s="28">
        <v>29</v>
      </c>
      <c r="B34" s="25"/>
      <c r="C34" s="25">
        <f t="shared" si="0"/>
        <v>0</v>
      </c>
      <c r="D34" s="25"/>
      <c r="E34" s="25">
        <f t="shared" si="1"/>
        <v>0</v>
      </c>
      <c r="F34" s="25"/>
      <c r="G34" s="25">
        <f t="shared" si="2"/>
        <v>0</v>
      </c>
      <c r="H34" s="25"/>
      <c r="I34" s="25">
        <f t="shared" si="3"/>
        <v>0</v>
      </c>
      <c r="J34" s="25"/>
      <c r="K34" s="25">
        <f t="shared" si="4"/>
        <v>0</v>
      </c>
      <c r="L34" s="25"/>
      <c r="M34" s="25">
        <f t="shared" si="5"/>
        <v>0</v>
      </c>
      <c r="N34" s="25"/>
      <c r="O34" s="25">
        <f t="shared" si="6"/>
        <v>0</v>
      </c>
      <c r="P34" s="25"/>
      <c r="Q34" s="26">
        <f t="shared" si="7"/>
        <v>0</v>
      </c>
      <c r="R34" s="25"/>
      <c r="S34" s="27">
        <f t="shared" si="8"/>
        <v>0</v>
      </c>
    </row>
    <row r="35" spans="1:19">
      <c r="A35" s="28">
        <v>30</v>
      </c>
      <c r="B35" s="25"/>
      <c r="C35" s="25">
        <f t="shared" si="0"/>
        <v>0</v>
      </c>
      <c r="D35" s="25"/>
      <c r="E35" s="25">
        <f t="shared" si="1"/>
        <v>0</v>
      </c>
      <c r="F35" s="25"/>
      <c r="G35" s="25">
        <f t="shared" si="2"/>
        <v>0</v>
      </c>
      <c r="H35" s="25"/>
      <c r="I35" s="25">
        <f t="shared" si="3"/>
        <v>0</v>
      </c>
      <c r="J35" s="25"/>
      <c r="K35" s="25">
        <f t="shared" si="4"/>
        <v>0</v>
      </c>
      <c r="L35" s="25"/>
      <c r="M35" s="25">
        <f t="shared" si="5"/>
        <v>0</v>
      </c>
      <c r="N35" s="25"/>
      <c r="O35" s="25">
        <f t="shared" si="6"/>
        <v>0</v>
      </c>
      <c r="P35" s="25"/>
      <c r="Q35" s="26">
        <f t="shared" si="7"/>
        <v>0</v>
      </c>
      <c r="R35" s="25"/>
      <c r="S35" s="27">
        <f t="shared" si="8"/>
        <v>0</v>
      </c>
    </row>
    <row r="36" spans="1:19" ht="32.25" customHeight="1">
      <c r="A36" s="39"/>
      <c r="B36" s="29" t="s">
        <v>11</v>
      </c>
      <c r="C36" s="30">
        <f>SUM(C6:C35)</f>
        <v>0</v>
      </c>
      <c r="D36" s="29" t="s">
        <v>11</v>
      </c>
      <c r="E36" s="30">
        <f>SUM(E6:E35)</f>
        <v>640</v>
      </c>
      <c r="F36" s="29" t="s">
        <v>11</v>
      </c>
      <c r="G36" s="30">
        <f>SUM(G6:G35)</f>
        <v>580</v>
      </c>
      <c r="H36" s="29" t="s">
        <v>11</v>
      </c>
      <c r="I36" s="30">
        <f>SUM(I6:I35)</f>
        <v>520</v>
      </c>
      <c r="J36" s="29" t="s">
        <v>11</v>
      </c>
      <c r="K36" s="30">
        <f>SUM(K6:K35)</f>
        <v>5040</v>
      </c>
      <c r="L36" s="29" t="s">
        <v>11</v>
      </c>
      <c r="M36" s="30">
        <f>SUM(M6:M35)</f>
        <v>1800</v>
      </c>
      <c r="N36" s="29" t="s">
        <v>11</v>
      </c>
      <c r="O36" s="30">
        <f>SUM(O6:O35)</f>
        <v>0</v>
      </c>
      <c r="P36" s="29" t="s">
        <v>11</v>
      </c>
      <c r="Q36" s="30">
        <f>SUM(Q6:Q35)</f>
        <v>0</v>
      </c>
      <c r="R36" s="29" t="s">
        <v>11</v>
      </c>
      <c r="S36" s="27">
        <f>SUM(S6:S35)</f>
        <v>3500</v>
      </c>
    </row>
    <row r="37" spans="1:19" ht="31.5" customHeight="1" thickBot="1">
      <c r="A37" s="40"/>
      <c r="B37" s="31" t="s">
        <v>14</v>
      </c>
      <c r="C37" s="30">
        <f>IF(C36=0,9,RANK(C36,$C$36:$S$36,0))</f>
        <v>9</v>
      </c>
      <c r="D37" s="31" t="s">
        <v>14</v>
      </c>
      <c r="E37" s="30">
        <f t="shared" ref="E37" si="9">IF(E36=0,9,RANK(E36,$C$36:$S$36,0))</f>
        <v>4</v>
      </c>
      <c r="F37" s="31" t="s">
        <v>14</v>
      </c>
      <c r="G37" s="30">
        <f t="shared" ref="G37" si="10">IF(G36=0,9,RANK(G36,$C$36:$S$36,0))</f>
        <v>5</v>
      </c>
      <c r="H37" s="31" t="s">
        <v>14</v>
      </c>
      <c r="I37" s="30">
        <f t="shared" ref="I37" si="11">IF(I36=0,9,RANK(I36,$C$36:$S$36,0))</f>
        <v>6</v>
      </c>
      <c r="J37" s="31" t="s">
        <v>14</v>
      </c>
      <c r="K37" s="30">
        <f t="shared" ref="K37" si="12">IF(K36=0,9,RANK(K36,$C$36:$S$36,0))</f>
        <v>1</v>
      </c>
      <c r="L37" s="31" t="s">
        <v>14</v>
      </c>
      <c r="M37" s="30">
        <f t="shared" ref="M37" si="13">IF(M36=0,9,RANK(M36,$C$36:$S$36,0))</f>
        <v>3</v>
      </c>
      <c r="N37" s="31" t="s">
        <v>14</v>
      </c>
      <c r="O37" s="30">
        <f t="shared" ref="O37" si="14">IF(O36=0,9,RANK(O36,$C$36:$S$36,0))</f>
        <v>9</v>
      </c>
      <c r="P37" s="31" t="s">
        <v>14</v>
      </c>
      <c r="Q37" s="30">
        <f t="shared" ref="Q37" si="15">IF(Q36=0,9,RANK(Q36,$C$36:$S$36,0))</f>
        <v>9</v>
      </c>
      <c r="R37" s="29" t="s">
        <v>14</v>
      </c>
      <c r="S37" s="27">
        <f t="shared" ref="S37" si="16">IF(S36=0,9,RANK(S36,$C$36:$S$36,0))</f>
        <v>2</v>
      </c>
    </row>
    <row r="38" spans="1:19">
      <c r="A38" s="32"/>
      <c r="B38" s="141" t="s">
        <v>29</v>
      </c>
      <c r="C38" s="137">
        <f>COUNT(B6:B35)</f>
        <v>0</v>
      </c>
      <c r="D38" s="141" t="s">
        <v>29</v>
      </c>
      <c r="E38" s="137">
        <f t="shared" ref="E38" si="17">COUNT(D6:D35)</f>
        <v>1</v>
      </c>
      <c r="F38" s="141" t="s">
        <v>29</v>
      </c>
      <c r="G38" s="137">
        <f t="shared" ref="G38" si="18">COUNT(F6:F35)</f>
        <v>1</v>
      </c>
      <c r="H38" s="141" t="s">
        <v>29</v>
      </c>
      <c r="I38" s="137">
        <f t="shared" ref="I38" si="19">COUNT(H6:H35)</f>
        <v>1</v>
      </c>
      <c r="J38" s="141" t="s">
        <v>29</v>
      </c>
      <c r="K38" s="137">
        <f t="shared" ref="K38" si="20">COUNT(J6:J35)</f>
        <v>8</v>
      </c>
      <c r="L38" s="141" t="s">
        <v>29</v>
      </c>
      <c r="M38" s="137">
        <f t="shared" ref="M38" si="21">COUNT(L6:L35)</f>
        <v>2</v>
      </c>
      <c r="N38" s="141" t="s">
        <v>29</v>
      </c>
      <c r="O38" s="137">
        <f t="shared" ref="O38" si="22">COUNT(N6:N35)</f>
        <v>0</v>
      </c>
      <c r="P38" s="141" t="s">
        <v>29</v>
      </c>
      <c r="Q38" s="148">
        <f t="shared" ref="Q38" si="23">COUNT(P6:P35)</f>
        <v>0</v>
      </c>
      <c r="R38" s="141" t="s">
        <v>29</v>
      </c>
      <c r="S38" s="138">
        <f t="shared" ref="S38" si="24">COUNT(R6:R35)</f>
        <v>6</v>
      </c>
    </row>
    <row r="39" spans="1:19">
      <c r="A39" s="32"/>
      <c r="B39" s="141"/>
      <c r="C39" s="137"/>
      <c r="D39" s="141"/>
      <c r="E39" s="137"/>
      <c r="F39" s="141"/>
      <c r="G39" s="137"/>
      <c r="H39" s="141"/>
      <c r="I39" s="137"/>
      <c r="J39" s="141"/>
      <c r="K39" s="137"/>
      <c r="L39" s="141"/>
      <c r="M39" s="137"/>
      <c r="N39" s="141"/>
      <c r="O39" s="137"/>
      <c r="P39" s="141"/>
      <c r="Q39" s="148"/>
      <c r="R39" s="141"/>
      <c r="S39" s="138"/>
    </row>
    <row r="40" spans="1:19">
      <c r="A40" s="32"/>
      <c r="B40" s="141"/>
      <c r="C40" s="137"/>
      <c r="D40" s="141"/>
      <c r="E40" s="137"/>
      <c r="F40" s="141"/>
      <c r="G40" s="137"/>
      <c r="H40" s="141"/>
      <c r="I40" s="137"/>
      <c r="J40" s="141"/>
      <c r="K40" s="137"/>
      <c r="L40" s="141"/>
      <c r="M40" s="137"/>
      <c r="N40" s="141"/>
      <c r="O40" s="137"/>
      <c r="P40" s="141"/>
      <c r="Q40" s="148"/>
      <c r="R40" s="141"/>
      <c r="S40" s="138"/>
    </row>
    <row r="41" spans="1:19" ht="40.5" customHeight="1" thickBot="1">
      <c r="A41" s="33"/>
      <c r="B41" s="34" t="s">
        <v>30</v>
      </c>
      <c r="C41" s="34">
        <f>MAX(B6:B35)</f>
        <v>0</v>
      </c>
      <c r="D41" s="34" t="s">
        <v>30</v>
      </c>
      <c r="E41" s="34">
        <f t="shared" ref="E41" si="25">MAX(D6:D35)</f>
        <v>27</v>
      </c>
      <c r="F41" s="34" t="s">
        <v>30</v>
      </c>
      <c r="G41" s="34">
        <f t="shared" ref="G41" si="26">MAX(F6:F35)</f>
        <v>24</v>
      </c>
      <c r="H41" s="34" t="s">
        <v>30</v>
      </c>
      <c r="I41" s="34">
        <f t="shared" ref="I41" si="27">MAX(H6:H35)</f>
        <v>21</v>
      </c>
      <c r="J41" s="34" t="s">
        <v>30</v>
      </c>
      <c r="K41" s="34">
        <f t="shared" ref="K41" si="28">MAX(J6:J35)</f>
        <v>30</v>
      </c>
      <c r="L41" s="34" t="s">
        <v>30</v>
      </c>
      <c r="M41" s="34">
        <f t="shared" ref="M41" si="29">MAX(L6:L35)</f>
        <v>43</v>
      </c>
      <c r="N41" s="34" t="s">
        <v>30</v>
      </c>
      <c r="O41" s="34">
        <f t="shared" ref="O41" si="30">MAX(N6:N35)</f>
        <v>0</v>
      </c>
      <c r="P41" s="34" t="s">
        <v>30</v>
      </c>
      <c r="Q41" s="72">
        <f t="shared" ref="Q41" si="31">MAX(P6:P35)</f>
        <v>0</v>
      </c>
      <c r="R41" s="34" t="s">
        <v>30</v>
      </c>
      <c r="S41" s="73">
        <f t="shared" ref="S41" si="32">MAX(R6:R35)</f>
        <v>29</v>
      </c>
    </row>
    <row r="42" spans="1:19">
      <c r="A42" s="14"/>
      <c r="B42" s="14"/>
      <c r="C42" s="14"/>
      <c r="D42" s="14"/>
      <c r="E42" s="14"/>
      <c r="F42" s="14"/>
      <c r="G42" s="14"/>
      <c r="H42" s="14"/>
      <c r="I42" s="14"/>
      <c r="J42" s="14"/>
      <c r="K42" s="14"/>
      <c r="L42" s="14"/>
      <c r="M42" s="14"/>
      <c r="N42" s="14"/>
      <c r="O42" s="14"/>
      <c r="P42" s="14"/>
      <c r="Q42" s="14"/>
      <c r="R42" s="14"/>
      <c r="S42" s="14"/>
    </row>
    <row r="43" spans="1:19">
      <c r="A43" s="14"/>
      <c r="B43" s="14"/>
      <c r="C43" s="14"/>
      <c r="D43" s="14"/>
      <c r="E43" s="14"/>
      <c r="F43" s="14"/>
      <c r="G43" s="14"/>
      <c r="H43" s="14"/>
      <c r="I43" s="14"/>
      <c r="J43" s="14"/>
      <c r="K43" s="14"/>
      <c r="L43" s="14"/>
      <c r="M43" s="14"/>
      <c r="N43" s="14"/>
      <c r="O43" s="14"/>
      <c r="P43" s="14"/>
      <c r="Q43" s="14"/>
      <c r="R43" s="14"/>
      <c r="S43" s="14"/>
    </row>
    <row r="44" spans="1:19" ht="15.75" thickBot="1">
      <c r="A44" s="14"/>
      <c r="B44" s="14"/>
      <c r="C44" s="14"/>
      <c r="D44" s="14"/>
      <c r="E44" s="14"/>
      <c r="F44" s="14"/>
      <c r="G44" s="14"/>
      <c r="H44" s="14"/>
      <c r="I44" s="14"/>
      <c r="J44" s="14"/>
      <c r="K44" s="14"/>
      <c r="L44" s="14"/>
      <c r="M44" s="14"/>
      <c r="N44" s="14"/>
      <c r="O44" s="14"/>
      <c r="P44" s="14"/>
      <c r="Q44" s="14"/>
      <c r="R44" s="14"/>
      <c r="S44" s="14"/>
    </row>
    <row r="45" spans="1:19" ht="15" customHeight="1">
      <c r="A45" s="161" t="s">
        <v>21</v>
      </c>
      <c r="B45" s="162"/>
      <c r="C45" s="162"/>
      <c r="D45" s="162"/>
      <c r="E45" s="162"/>
      <c r="F45" s="162"/>
      <c r="G45" s="162"/>
      <c r="H45" s="162"/>
      <c r="I45" s="162"/>
      <c r="J45" s="162"/>
      <c r="K45" s="162"/>
      <c r="L45" s="162"/>
      <c r="M45" s="162"/>
      <c r="N45" s="162"/>
      <c r="O45" s="162"/>
      <c r="P45" s="162"/>
      <c r="Q45" s="162"/>
      <c r="R45" s="162"/>
      <c r="S45" s="163"/>
    </row>
    <row r="46" spans="1:19" ht="15" customHeight="1">
      <c r="A46" s="164"/>
      <c r="B46" s="165"/>
      <c r="C46" s="165"/>
      <c r="D46" s="165"/>
      <c r="E46" s="165"/>
      <c r="F46" s="165"/>
      <c r="G46" s="165"/>
      <c r="H46" s="165"/>
      <c r="I46" s="165"/>
      <c r="J46" s="165"/>
      <c r="K46" s="165"/>
      <c r="L46" s="165"/>
      <c r="M46" s="165"/>
      <c r="N46" s="165"/>
      <c r="O46" s="165"/>
      <c r="P46" s="165"/>
      <c r="Q46" s="165"/>
      <c r="R46" s="165"/>
      <c r="S46" s="166"/>
    </row>
    <row r="47" spans="1:19">
      <c r="A47" s="152" t="s">
        <v>15</v>
      </c>
      <c r="B47" s="137" t="s">
        <v>10</v>
      </c>
      <c r="C47" s="137"/>
      <c r="D47" s="137" t="s">
        <v>10</v>
      </c>
      <c r="E47" s="137"/>
      <c r="F47" s="137" t="s">
        <v>10</v>
      </c>
      <c r="G47" s="137"/>
      <c r="H47" s="137" t="s">
        <v>10</v>
      </c>
      <c r="I47" s="137"/>
      <c r="J47" s="137" t="s">
        <v>10</v>
      </c>
      <c r="K47" s="137"/>
      <c r="L47" s="137" t="s">
        <v>10</v>
      </c>
      <c r="M47" s="137"/>
      <c r="N47" s="137" t="s">
        <v>10</v>
      </c>
      <c r="O47" s="137"/>
      <c r="P47" s="137" t="s">
        <v>10</v>
      </c>
      <c r="Q47" s="148"/>
      <c r="R47" s="137" t="s">
        <v>10</v>
      </c>
      <c r="S47" s="138"/>
    </row>
    <row r="48" spans="1:19" ht="18.75">
      <c r="A48" s="152"/>
      <c r="B48" s="139" t="str">
        <f>TABELA!K10</f>
        <v>SAVO RAIČEVIĆ</v>
      </c>
      <c r="C48" s="139"/>
      <c r="D48" s="139" t="str">
        <f>TABELA!K11</f>
        <v>NIKOLA TREBJEŠANIN</v>
      </c>
      <c r="E48" s="139"/>
      <c r="F48" s="139" t="str">
        <f>TABELA!K12</f>
        <v>MILUN ĐUROVIĆ</v>
      </c>
      <c r="G48" s="139"/>
      <c r="H48" s="139" t="str">
        <f>TABELA!K13</f>
        <v>DAMIR CANOVIĆ</v>
      </c>
      <c r="I48" s="139"/>
      <c r="J48" s="139" t="str">
        <f>TABELA!K14</f>
        <v>ALEKSANDAR GAŠEVIĆ</v>
      </c>
      <c r="K48" s="139"/>
      <c r="L48" s="139" t="str">
        <f>TABELA!K15</f>
        <v>BOGDAN MARKOVIĆ</v>
      </c>
      <c r="M48" s="139"/>
      <c r="N48" s="139" t="str">
        <f>TABELA!K16</f>
        <v>MARKO BAKIĆ</v>
      </c>
      <c r="O48" s="139"/>
      <c r="P48" s="139" t="str">
        <f>TABELA!K17</f>
        <v>MUMIN HEKALO</v>
      </c>
      <c r="Q48" s="151"/>
      <c r="R48" s="139" t="str">
        <f>TABELA!K18</f>
        <v>IVICA RAJKOVIĆ</v>
      </c>
      <c r="S48" s="140"/>
    </row>
    <row r="49" spans="1:19">
      <c r="A49" s="152"/>
      <c r="B49" s="25" t="s">
        <v>12</v>
      </c>
      <c r="C49" s="25" t="s">
        <v>13</v>
      </c>
      <c r="D49" s="25" t="s">
        <v>12</v>
      </c>
      <c r="E49" s="25" t="s">
        <v>13</v>
      </c>
      <c r="F49" s="25" t="s">
        <v>12</v>
      </c>
      <c r="G49" s="25" t="s">
        <v>13</v>
      </c>
      <c r="H49" s="25" t="s">
        <v>12</v>
      </c>
      <c r="I49" s="25" t="s">
        <v>13</v>
      </c>
      <c r="J49" s="25" t="s">
        <v>12</v>
      </c>
      <c r="K49" s="25" t="s">
        <v>13</v>
      </c>
      <c r="L49" s="25" t="s">
        <v>12</v>
      </c>
      <c r="M49" s="25" t="s">
        <v>13</v>
      </c>
      <c r="N49" s="25" t="s">
        <v>12</v>
      </c>
      <c r="O49" s="25" t="s">
        <v>13</v>
      </c>
      <c r="P49" s="25" t="s">
        <v>12</v>
      </c>
      <c r="Q49" s="26" t="s">
        <v>13</v>
      </c>
      <c r="R49" s="25" t="s">
        <v>12</v>
      </c>
      <c r="S49" s="27" t="s">
        <v>13</v>
      </c>
    </row>
    <row r="50" spans="1:19">
      <c r="A50" s="28">
        <v>1</v>
      </c>
      <c r="B50" s="25">
        <v>43</v>
      </c>
      <c r="C50" s="25">
        <f>IF(B50,B50*20+100,0)</f>
        <v>960</v>
      </c>
      <c r="D50" s="25">
        <v>25</v>
      </c>
      <c r="E50" s="25">
        <f>IF(D50,D50*20+100,0)</f>
        <v>600</v>
      </c>
      <c r="F50" s="25">
        <v>29</v>
      </c>
      <c r="G50" s="25">
        <f>IF(F50,F50*20+100,0)</f>
        <v>680</v>
      </c>
      <c r="H50" s="25">
        <v>23</v>
      </c>
      <c r="I50" s="25">
        <f>IF(H50,H50*20+100,0)</f>
        <v>560</v>
      </c>
      <c r="J50" s="25">
        <v>20</v>
      </c>
      <c r="K50" s="25">
        <f>IF(J50,J50*20+100,0)</f>
        <v>500</v>
      </c>
      <c r="L50" s="25">
        <v>27</v>
      </c>
      <c r="M50" s="25">
        <f>IF(L50,L50*20+100,0)</f>
        <v>640</v>
      </c>
      <c r="N50" s="25">
        <v>28</v>
      </c>
      <c r="O50" s="25">
        <f>IF(N50,N50*20+100,0)</f>
        <v>660</v>
      </c>
      <c r="P50" s="25">
        <v>34</v>
      </c>
      <c r="Q50" s="26">
        <f>IF(P50,P50*20+100,0)</f>
        <v>780</v>
      </c>
      <c r="R50" s="25">
        <v>32</v>
      </c>
      <c r="S50" s="27">
        <f>IF(R50,R50*20+100,0)</f>
        <v>740</v>
      </c>
    </row>
    <row r="51" spans="1:19">
      <c r="A51" s="28">
        <v>2</v>
      </c>
      <c r="B51" s="25"/>
      <c r="C51" s="25">
        <f t="shared" ref="C51:C79" si="33">IF(B51,B51*20+100,0)</f>
        <v>0</v>
      </c>
      <c r="D51" s="25"/>
      <c r="E51" s="25">
        <f t="shared" ref="E51:E79" si="34">IF(D51,D51*20+100,0)</f>
        <v>0</v>
      </c>
      <c r="F51" s="25">
        <v>37</v>
      </c>
      <c r="G51" s="25">
        <f t="shared" ref="G51:G79" si="35">IF(F51,F51*20+100,0)</f>
        <v>840</v>
      </c>
      <c r="H51" s="25"/>
      <c r="I51" s="25">
        <f t="shared" ref="I51:I79" si="36">IF(H51,H51*20+100,0)</f>
        <v>0</v>
      </c>
      <c r="J51" s="25">
        <v>23</v>
      </c>
      <c r="K51" s="25">
        <f t="shared" ref="K51:K79" si="37">IF(J51,J51*20+100,0)</f>
        <v>560</v>
      </c>
      <c r="L51" s="25"/>
      <c r="M51" s="25">
        <f t="shared" ref="M51:M79" si="38">IF(L51,L51*20+100,0)</f>
        <v>0</v>
      </c>
      <c r="N51" s="25">
        <v>25</v>
      </c>
      <c r="O51" s="25">
        <f t="shared" ref="O51:O79" si="39">IF(N51,N51*20+100,0)</f>
        <v>600</v>
      </c>
      <c r="P51" s="25"/>
      <c r="Q51" s="26">
        <f t="shared" ref="Q51:Q79" si="40">IF(P51,P51*20+100,0)</f>
        <v>0</v>
      </c>
      <c r="R51" s="25">
        <v>30</v>
      </c>
      <c r="S51" s="27">
        <f t="shared" ref="S51:S79" si="41">IF(R51,R51*20+100,0)</f>
        <v>700</v>
      </c>
    </row>
    <row r="52" spans="1:19">
      <c r="A52" s="28">
        <v>3</v>
      </c>
      <c r="B52" s="25"/>
      <c r="C52" s="25">
        <f t="shared" si="33"/>
        <v>0</v>
      </c>
      <c r="D52" s="25"/>
      <c r="E52" s="25">
        <f t="shared" si="34"/>
        <v>0</v>
      </c>
      <c r="F52" s="25">
        <v>31</v>
      </c>
      <c r="G52" s="25">
        <f t="shared" si="35"/>
        <v>720</v>
      </c>
      <c r="H52" s="25"/>
      <c r="I52" s="25">
        <f t="shared" si="36"/>
        <v>0</v>
      </c>
      <c r="J52" s="25">
        <v>30</v>
      </c>
      <c r="K52" s="25">
        <f t="shared" si="37"/>
        <v>700</v>
      </c>
      <c r="L52" s="25"/>
      <c r="M52" s="25">
        <f t="shared" si="38"/>
        <v>0</v>
      </c>
      <c r="N52" s="25">
        <v>29</v>
      </c>
      <c r="O52" s="25">
        <f t="shared" si="39"/>
        <v>680</v>
      </c>
      <c r="P52" s="25"/>
      <c r="Q52" s="26">
        <f t="shared" si="40"/>
        <v>0</v>
      </c>
      <c r="R52" s="25"/>
      <c r="S52" s="27">
        <f t="shared" si="41"/>
        <v>0</v>
      </c>
    </row>
    <row r="53" spans="1:19">
      <c r="A53" s="28">
        <v>4</v>
      </c>
      <c r="B53" s="25"/>
      <c r="C53" s="25">
        <f t="shared" si="33"/>
        <v>0</v>
      </c>
      <c r="D53" s="25"/>
      <c r="E53" s="25">
        <f t="shared" si="34"/>
        <v>0</v>
      </c>
      <c r="F53" s="25">
        <v>24</v>
      </c>
      <c r="G53" s="25">
        <f t="shared" si="35"/>
        <v>580</v>
      </c>
      <c r="H53" s="25"/>
      <c r="I53" s="25">
        <f t="shared" si="36"/>
        <v>0</v>
      </c>
      <c r="J53" s="25">
        <v>25</v>
      </c>
      <c r="K53" s="25">
        <f t="shared" si="37"/>
        <v>600</v>
      </c>
      <c r="L53" s="25"/>
      <c r="M53" s="25">
        <f t="shared" si="38"/>
        <v>0</v>
      </c>
      <c r="N53" s="25">
        <v>27</v>
      </c>
      <c r="O53" s="25">
        <f t="shared" si="39"/>
        <v>640</v>
      </c>
      <c r="P53" s="25"/>
      <c r="Q53" s="26">
        <f t="shared" si="40"/>
        <v>0</v>
      </c>
      <c r="R53" s="25"/>
      <c r="S53" s="27">
        <f t="shared" si="41"/>
        <v>0</v>
      </c>
    </row>
    <row r="54" spans="1:19">
      <c r="A54" s="28">
        <v>5</v>
      </c>
      <c r="B54" s="25"/>
      <c r="C54" s="25">
        <f t="shared" si="33"/>
        <v>0</v>
      </c>
      <c r="D54" s="25"/>
      <c r="E54" s="25">
        <f t="shared" si="34"/>
        <v>0</v>
      </c>
      <c r="F54" s="25">
        <v>27</v>
      </c>
      <c r="G54" s="25">
        <f t="shared" si="35"/>
        <v>640</v>
      </c>
      <c r="H54" s="25"/>
      <c r="I54" s="25">
        <f t="shared" si="36"/>
        <v>0</v>
      </c>
      <c r="J54" s="25"/>
      <c r="K54" s="25">
        <f t="shared" si="37"/>
        <v>0</v>
      </c>
      <c r="L54" s="25"/>
      <c r="M54" s="25">
        <f t="shared" si="38"/>
        <v>0</v>
      </c>
      <c r="N54" s="25"/>
      <c r="O54" s="25">
        <f t="shared" si="39"/>
        <v>0</v>
      </c>
      <c r="P54" s="25"/>
      <c r="Q54" s="26">
        <f t="shared" si="40"/>
        <v>0</v>
      </c>
      <c r="R54" s="25"/>
      <c r="S54" s="27">
        <f t="shared" si="41"/>
        <v>0</v>
      </c>
    </row>
    <row r="55" spans="1:19">
      <c r="A55" s="28">
        <v>6</v>
      </c>
      <c r="B55" s="25"/>
      <c r="C55" s="25">
        <f t="shared" si="33"/>
        <v>0</v>
      </c>
      <c r="D55" s="25"/>
      <c r="E55" s="25">
        <f t="shared" si="34"/>
        <v>0</v>
      </c>
      <c r="F55" s="25"/>
      <c r="G55" s="25">
        <f t="shared" si="35"/>
        <v>0</v>
      </c>
      <c r="H55" s="25"/>
      <c r="I55" s="25">
        <f t="shared" si="36"/>
        <v>0</v>
      </c>
      <c r="J55" s="25"/>
      <c r="K55" s="25">
        <f t="shared" si="37"/>
        <v>0</v>
      </c>
      <c r="L55" s="25"/>
      <c r="M55" s="25">
        <f t="shared" si="38"/>
        <v>0</v>
      </c>
      <c r="N55" s="25"/>
      <c r="O55" s="25">
        <f t="shared" si="39"/>
        <v>0</v>
      </c>
      <c r="P55" s="25"/>
      <c r="Q55" s="26">
        <f t="shared" si="40"/>
        <v>0</v>
      </c>
      <c r="R55" s="25"/>
      <c r="S55" s="27">
        <f t="shared" si="41"/>
        <v>0</v>
      </c>
    </row>
    <row r="56" spans="1:19">
      <c r="A56" s="28">
        <v>7</v>
      </c>
      <c r="B56" s="25"/>
      <c r="C56" s="25">
        <f t="shared" si="33"/>
        <v>0</v>
      </c>
      <c r="D56" s="25"/>
      <c r="E56" s="25">
        <f t="shared" si="34"/>
        <v>0</v>
      </c>
      <c r="F56" s="25"/>
      <c r="G56" s="25">
        <f t="shared" si="35"/>
        <v>0</v>
      </c>
      <c r="H56" s="25"/>
      <c r="I56" s="25">
        <f t="shared" si="36"/>
        <v>0</v>
      </c>
      <c r="J56" s="25"/>
      <c r="K56" s="25">
        <f t="shared" si="37"/>
        <v>0</v>
      </c>
      <c r="L56" s="25"/>
      <c r="M56" s="25">
        <f t="shared" si="38"/>
        <v>0</v>
      </c>
      <c r="N56" s="25"/>
      <c r="O56" s="25">
        <f t="shared" si="39"/>
        <v>0</v>
      </c>
      <c r="P56" s="25"/>
      <c r="Q56" s="26">
        <f t="shared" si="40"/>
        <v>0</v>
      </c>
      <c r="R56" s="25"/>
      <c r="S56" s="27">
        <f t="shared" si="41"/>
        <v>0</v>
      </c>
    </row>
    <row r="57" spans="1:19">
      <c r="A57" s="28">
        <v>8</v>
      </c>
      <c r="B57" s="25"/>
      <c r="C57" s="25">
        <f t="shared" si="33"/>
        <v>0</v>
      </c>
      <c r="D57" s="25"/>
      <c r="E57" s="25">
        <f t="shared" si="34"/>
        <v>0</v>
      </c>
      <c r="F57" s="25"/>
      <c r="G57" s="25">
        <f t="shared" si="35"/>
        <v>0</v>
      </c>
      <c r="H57" s="25"/>
      <c r="I57" s="25">
        <f t="shared" si="36"/>
        <v>0</v>
      </c>
      <c r="J57" s="25"/>
      <c r="K57" s="25">
        <f t="shared" si="37"/>
        <v>0</v>
      </c>
      <c r="L57" s="25"/>
      <c r="M57" s="25">
        <f t="shared" si="38"/>
        <v>0</v>
      </c>
      <c r="N57" s="25"/>
      <c r="O57" s="25">
        <f t="shared" si="39"/>
        <v>0</v>
      </c>
      <c r="P57" s="25"/>
      <c r="Q57" s="26">
        <f t="shared" si="40"/>
        <v>0</v>
      </c>
      <c r="R57" s="25"/>
      <c r="S57" s="27">
        <f t="shared" si="41"/>
        <v>0</v>
      </c>
    </row>
    <row r="58" spans="1:19">
      <c r="A58" s="28">
        <v>9</v>
      </c>
      <c r="B58" s="25"/>
      <c r="C58" s="25">
        <f t="shared" si="33"/>
        <v>0</v>
      </c>
      <c r="D58" s="25"/>
      <c r="E58" s="25">
        <f t="shared" si="34"/>
        <v>0</v>
      </c>
      <c r="F58" s="25"/>
      <c r="G58" s="25">
        <f t="shared" si="35"/>
        <v>0</v>
      </c>
      <c r="H58" s="25"/>
      <c r="I58" s="25">
        <f t="shared" si="36"/>
        <v>0</v>
      </c>
      <c r="J58" s="25"/>
      <c r="K58" s="25">
        <f t="shared" si="37"/>
        <v>0</v>
      </c>
      <c r="L58" s="25"/>
      <c r="M58" s="25">
        <f t="shared" si="38"/>
        <v>0</v>
      </c>
      <c r="N58" s="25"/>
      <c r="O58" s="25">
        <f t="shared" si="39"/>
        <v>0</v>
      </c>
      <c r="P58" s="25"/>
      <c r="Q58" s="26">
        <f t="shared" si="40"/>
        <v>0</v>
      </c>
      <c r="R58" s="25"/>
      <c r="S58" s="27">
        <f t="shared" si="41"/>
        <v>0</v>
      </c>
    </row>
    <row r="59" spans="1:19">
      <c r="A59" s="28">
        <v>10</v>
      </c>
      <c r="B59" s="25"/>
      <c r="C59" s="25">
        <f t="shared" si="33"/>
        <v>0</v>
      </c>
      <c r="D59" s="25"/>
      <c r="E59" s="25">
        <f t="shared" si="34"/>
        <v>0</v>
      </c>
      <c r="F59" s="25"/>
      <c r="G59" s="25">
        <f t="shared" si="35"/>
        <v>0</v>
      </c>
      <c r="H59" s="25"/>
      <c r="I59" s="25">
        <f t="shared" si="36"/>
        <v>0</v>
      </c>
      <c r="J59" s="25"/>
      <c r="K59" s="25">
        <f t="shared" si="37"/>
        <v>0</v>
      </c>
      <c r="L59" s="25"/>
      <c r="M59" s="25">
        <f t="shared" si="38"/>
        <v>0</v>
      </c>
      <c r="N59" s="25"/>
      <c r="O59" s="25">
        <f t="shared" si="39"/>
        <v>0</v>
      </c>
      <c r="P59" s="25"/>
      <c r="Q59" s="26">
        <f t="shared" si="40"/>
        <v>0</v>
      </c>
      <c r="R59" s="25"/>
      <c r="S59" s="27">
        <f t="shared" si="41"/>
        <v>0</v>
      </c>
    </row>
    <row r="60" spans="1:19">
      <c r="A60" s="28">
        <v>11</v>
      </c>
      <c r="B60" s="25"/>
      <c r="C60" s="25">
        <f t="shared" si="33"/>
        <v>0</v>
      </c>
      <c r="D60" s="25"/>
      <c r="E60" s="25">
        <f t="shared" si="34"/>
        <v>0</v>
      </c>
      <c r="F60" s="25"/>
      <c r="G60" s="25">
        <f t="shared" si="35"/>
        <v>0</v>
      </c>
      <c r="H60" s="25"/>
      <c r="I60" s="25">
        <f t="shared" si="36"/>
        <v>0</v>
      </c>
      <c r="J60" s="25"/>
      <c r="K60" s="25">
        <f t="shared" si="37"/>
        <v>0</v>
      </c>
      <c r="L60" s="25"/>
      <c r="M60" s="25">
        <f t="shared" si="38"/>
        <v>0</v>
      </c>
      <c r="N60" s="25"/>
      <c r="O60" s="25">
        <f t="shared" si="39"/>
        <v>0</v>
      </c>
      <c r="P60" s="25"/>
      <c r="Q60" s="26">
        <f t="shared" si="40"/>
        <v>0</v>
      </c>
      <c r="R60" s="25"/>
      <c r="S60" s="27">
        <f t="shared" si="41"/>
        <v>0</v>
      </c>
    </row>
    <row r="61" spans="1:19">
      <c r="A61" s="28">
        <v>12</v>
      </c>
      <c r="B61" s="25"/>
      <c r="C61" s="25">
        <f t="shared" si="33"/>
        <v>0</v>
      </c>
      <c r="D61" s="25"/>
      <c r="E61" s="25">
        <f t="shared" si="34"/>
        <v>0</v>
      </c>
      <c r="F61" s="25"/>
      <c r="G61" s="25">
        <f t="shared" si="35"/>
        <v>0</v>
      </c>
      <c r="H61" s="25"/>
      <c r="I61" s="25">
        <f t="shared" si="36"/>
        <v>0</v>
      </c>
      <c r="J61" s="25"/>
      <c r="K61" s="25">
        <f t="shared" si="37"/>
        <v>0</v>
      </c>
      <c r="L61" s="25"/>
      <c r="M61" s="25">
        <f t="shared" si="38"/>
        <v>0</v>
      </c>
      <c r="N61" s="25"/>
      <c r="O61" s="25">
        <f t="shared" si="39"/>
        <v>0</v>
      </c>
      <c r="P61" s="25"/>
      <c r="Q61" s="26">
        <f t="shared" si="40"/>
        <v>0</v>
      </c>
      <c r="R61" s="25"/>
      <c r="S61" s="27">
        <f t="shared" si="41"/>
        <v>0</v>
      </c>
    </row>
    <row r="62" spans="1:19">
      <c r="A62" s="28">
        <v>13</v>
      </c>
      <c r="B62" s="25"/>
      <c r="C62" s="25">
        <f t="shared" si="33"/>
        <v>0</v>
      </c>
      <c r="D62" s="25"/>
      <c r="E62" s="25">
        <f t="shared" si="34"/>
        <v>0</v>
      </c>
      <c r="F62" s="25"/>
      <c r="G62" s="25">
        <f t="shared" si="35"/>
        <v>0</v>
      </c>
      <c r="H62" s="25"/>
      <c r="I62" s="25">
        <f t="shared" si="36"/>
        <v>0</v>
      </c>
      <c r="J62" s="25"/>
      <c r="K62" s="25">
        <f t="shared" si="37"/>
        <v>0</v>
      </c>
      <c r="L62" s="25"/>
      <c r="M62" s="25">
        <f t="shared" si="38"/>
        <v>0</v>
      </c>
      <c r="N62" s="25"/>
      <c r="O62" s="25">
        <f t="shared" si="39"/>
        <v>0</v>
      </c>
      <c r="P62" s="25"/>
      <c r="Q62" s="26">
        <f t="shared" si="40"/>
        <v>0</v>
      </c>
      <c r="R62" s="25"/>
      <c r="S62" s="27">
        <f t="shared" si="41"/>
        <v>0</v>
      </c>
    </row>
    <row r="63" spans="1:19">
      <c r="A63" s="28">
        <v>14</v>
      </c>
      <c r="B63" s="25"/>
      <c r="C63" s="25">
        <f t="shared" si="33"/>
        <v>0</v>
      </c>
      <c r="D63" s="25"/>
      <c r="E63" s="25">
        <f t="shared" si="34"/>
        <v>0</v>
      </c>
      <c r="F63" s="25"/>
      <c r="G63" s="25">
        <f t="shared" si="35"/>
        <v>0</v>
      </c>
      <c r="H63" s="25"/>
      <c r="I63" s="25">
        <f t="shared" si="36"/>
        <v>0</v>
      </c>
      <c r="J63" s="25"/>
      <c r="K63" s="25">
        <f t="shared" si="37"/>
        <v>0</v>
      </c>
      <c r="L63" s="25"/>
      <c r="M63" s="25">
        <f t="shared" si="38"/>
        <v>0</v>
      </c>
      <c r="N63" s="25"/>
      <c r="O63" s="25">
        <f t="shared" si="39"/>
        <v>0</v>
      </c>
      <c r="P63" s="25"/>
      <c r="Q63" s="26">
        <f t="shared" si="40"/>
        <v>0</v>
      </c>
      <c r="R63" s="25"/>
      <c r="S63" s="27">
        <f t="shared" si="41"/>
        <v>0</v>
      </c>
    </row>
    <row r="64" spans="1:19">
      <c r="A64" s="28">
        <v>15</v>
      </c>
      <c r="B64" s="25"/>
      <c r="C64" s="25">
        <f t="shared" si="33"/>
        <v>0</v>
      </c>
      <c r="D64" s="25"/>
      <c r="E64" s="25">
        <f t="shared" si="34"/>
        <v>0</v>
      </c>
      <c r="F64" s="25"/>
      <c r="G64" s="25">
        <f t="shared" si="35"/>
        <v>0</v>
      </c>
      <c r="H64" s="25"/>
      <c r="I64" s="25">
        <f t="shared" si="36"/>
        <v>0</v>
      </c>
      <c r="J64" s="25"/>
      <c r="K64" s="25">
        <f t="shared" si="37"/>
        <v>0</v>
      </c>
      <c r="L64" s="25"/>
      <c r="M64" s="25">
        <f t="shared" si="38"/>
        <v>0</v>
      </c>
      <c r="N64" s="25"/>
      <c r="O64" s="25">
        <f t="shared" si="39"/>
        <v>0</v>
      </c>
      <c r="P64" s="25"/>
      <c r="Q64" s="26">
        <f t="shared" si="40"/>
        <v>0</v>
      </c>
      <c r="R64" s="25"/>
      <c r="S64" s="27">
        <f t="shared" si="41"/>
        <v>0</v>
      </c>
    </row>
    <row r="65" spans="1:19">
      <c r="A65" s="28">
        <v>16</v>
      </c>
      <c r="B65" s="25"/>
      <c r="C65" s="25">
        <f t="shared" si="33"/>
        <v>0</v>
      </c>
      <c r="D65" s="25"/>
      <c r="E65" s="25">
        <f t="shared" si="34"/>
        <v>0</v>
      </c>
      <c r="F65" s="25"/>
      <c r="G65" s="25">
        <f t="shared" si="35"/>
        <v>0</v>
      </c>
      <c r="H65" s="25"/>
      <c r="I65" s="25">
        <f t="shared" si="36"/>
        <v>0</v>
      </c>
      <c r="J65" s="25"/>
      <c r="K65" s="25">
        <f t="shared" si="37"/>
        <v>0</v>
      </c>
      <c r="L65" s="25"/>
      <c r="M65" s="25">
        <f t="shared" si="38"/>
        <v>0</v>
      </c>
      <c r="N65" s="25"/>
      <c r="O65" s="25">
        <f t="shared" si="39"/>
        <v>0</v>
      </c>
      <c r="P65" s="25"/>
      <c r="Q65" s="26">
        <f t="shared" si="40"/>
        <v>0</v>
      </c>
      <c r="R65" s="25"/>
      <c r="S65" s="27">
        <f t="shared" si="41"/>
        <v>0</v>
      </c>
    </row>
    <row r="66" spans="1:19">
      <c r="A66" s="28">
        <v>17</v>
      </c>
      <c r="B66" s="25"/>
      <c r="C66" s="25">
        <f t="shared" si="33"/>
        <v>0</v>
      </c>
      <c r="D66" s="25"/>
      <c r="E66" s="25">
        <f t="shared" si="34"/>
        <v>0</v>
      </c>
      <c r="F66" s="25"/>
      <c r="G66" s="25">
        <f t="shared" si="35"/>
        <v>0</v>
      </c>
      <c r="H66" s="25"/>
      <c r="I66" s="25">
        <f t="shared" si="36"/>
        <v>0</v>
      </c>
      <c r="J66" s="25"/>
      <c r="K66" s="25">
        <f t="shared" si="37"/>
        <v>0</v>
      </c>
      <c r="L66" s="25"/>
      <c r="M66" s="25">
        <f t="shared" si="38"/>
        <v>0</v>
      </c>
      <c r="N66" s="25"/>
      <c r="O66" s="25">
        <f t="shared" si="39"/>
        <v>0</v>
      </c>
      <c r="P66" s="25"/>
      <c r="Q66" s="26">
        <f t="shared" si="40"/>
        <v>0</v>
      </c>
      <c r="R66" s="25"/>
      <c r="S66" s="27">
        <f t="shared" si="41"/>
        <v>0</v>
      </c>
    </row>
    <row r="67" spans="1:19">
      <c r="A67" s="28">
        <v>18</v>
      </c>
      <c r="B67" s="25"/>
      <c r="C67" s="25">
        <f t="shared" si="33"/>
        <v>0</v>
      </c>
      <c r="D67" s="25"/>
      <c r="E67" s="25">
        <f t="shared" si="34"/>
        <v>0</v>
      </c>
      <c r="F67" s="25"/>
      <c r="G67" s="25">
        <f t="shared" si="35"/>
        <v>0</v>
      </c>
      <c r="H67" s="25"/>
      <c r="I67" s="25">
        <f t="shared" si="36"/>
        <v>0</v>
      </c>
      <c r="J67" s="25"/>
      <c r="K67" s="25">
        <f t="shared" si="37"/>
        <v>0</v>
      </c>
      <c r="L67" s="25"/>
      <c r="M67" s="25">
        <f t="shared" si="38"/>
        <v>0</v>
      </c>
      <c r="N67" s="25"/>
      <c r="O67" s="25">
        <f t="shared" si="39"/>
        <v>0</v>
      </c>
      <c r="P67" s="25"/>
      <c r="Q67" s="26">
        <f t="shared" si="40"/>
        <v>0</v>
      </c>
      <c r="R67" s="25"/>
      <c r="S67" s="27">
        <f t="shared" si="41"/>
        <v>0</v>
      </c>
    </row>
    <row r="68" spans="1:19">
      <c r="A68" s="28">
        <v>19</v>
      </c>
      <c r="B68" s="25"/>
      <c r="C68" s="25">
        <f t="shared" si="33"/>
        <v>0</v>
      </c>
      <c r="D68" s="25"/>
      <c r="E68" s="25">
        <f t="shared" si="34"/>
        <v>0</v>
      </c>
      <c r="F68" s="25"/>
      <c r="G68" s="25">
        <f t="shared" si="35"/>
        <v>0</v>
      </c>
      <c r="H68" s="25"/>
      <c r="I68" s="25">
        <f t="shared" si="36"/>
        <v>0</v>
      </c>
      <c r="J68" s="25"/>
      <c r="K68" s="25">
        <f t="shared" si="37"/>
        <v>0</v>
      </c>
      <c r="L68" s="25"/>
      <c r="M68" s="25">
        <f t="shared" si="38"/>
        <v>0</v>
      </c>
      <c r="N68" s="25"/>
      <c r="O68" s="25">
        <f t="shared" si="39"/>
        <v>0</v>
      </c>
      <c r="P68" s="25"/>
      <c r="Q68" s="26">
        <f t="shared" si="40"/>
        <v>0</v>
      </c>
      <c r="R68" s="25"/>
      <c r="S68" s="27">
        <f t="shared" si="41"/>
        <v>0</v>
      </c>
    </row>
    <row r="69" spans="1:19">
      <c r="A69" s="28">
        <v>20</v>
      </c>
      <c r="B69" s="25"/>
      <c r="C69" s="25">
        <f t="shared" si="33"/>
        <v>0</v>
      </c>
      <c r="D69" s="25"/>
      <c r="E69" s="25">
        <f t="shared" si="34"/>
        <v>0</v>
      </c>
      <c r="F69" s="25"/>
      <c r="G69" s="25">
        <f t="shared" si="35"/>
        <v>0</v>
      </c>
      <c r="H69" s="25"/>
      <c r="I69" s="25">
        <f t="shared" si="36"/>
        <v>0</v>
      </c>
      <c r="J69" s="25"/>
      <c r="K69" s="25">
        <f t="shared" si="37"/>
        <v>0</v>
      </c>
      <c r="L69" s="25"/>
      <c r="M69" s="25">
        <f t="shared" si="38"/>
        <v>0</v>
      </c>
      <c r="N69" s="25"/>
      <c r="O69" s="25">
        <f t="shared" si="39"/>
        <v>0</v>
      </c>
      <c r="P69" s="25"/>
      <c r="Q69" s="26">
        <f t="shared" si="40"/>
        <v>0</v>
      </c>
      <c r="R69" s="25"/>
      <c r="S69" s="27">
        <f t="shared" si="41"/>
        <v>0</v>
      </c>
    </row>
    <row r="70" spans="1:19">
      <c r="A70" s="28">
        <v>21</v>
      </c>
      <c r="B70" s="25"/>
      <c r="C70" s="25">
        <f t="shared" si="33"/>
        <v>0</v>
      </c>
      <c r="D70" s="25"/>
      <c r="E70" s="25">
        <f t="shared" si="34"/>
        <v>0</v>
      </c>
      <c r="F70" s="25"/>
      <c r="G70" s="25">
        <f t="shared" si="35"/>
        <v>0</v>
      </c>
      <c r="H70" s="25"/>
      <c r="I70" s="25">
        <f t="shared" si="36"/>
        <v>0</v>
      </c>
      <c r="J70" s="25"/>
      <c r="K70" s="25">
        <f t="shared" si="37"/>
        <v>0</v>
      </c>
      <c r="L70" s="25"/>
      <c r="M70" s="25">
        <f t="shared" si="38"/>
        <v>0</v>
      </c>
      <c r="N70" s="25"/>
      <c r="O70" s="25">
        <f t="shared" si="39"/>
        <v>0</v>
      </c>
      <c r="P70" s="25"/>
      <c r="Q70" s="26">
        <f t="shared" si="40"/>
        <v>0</v>
      </c>
      <c r="R70" s="25"/>
      <c r="S70" s="27">
        <f t="shared" si="41"/>
        <v>0</v>
      </c>
    </row>
    <row r="71" spans="1:19">
      <c r="A71" s="28">
        <v>22</v>
      </c>
      <c r="B71" s="25"/>
      <c r="C71" s="25">
        <f t="shared" si="33"/>
        <v>0</v>
      </c>
      <c r="D71" s="25"/>
      <c r="E71" s="25">
        <f t="shared" si="34"/>
        <v>0</v>
      </c>
      <c r="F71" s="25"/>
      <c r="G71" s="25">
        <f t="shared" si="35"/>
        <v>0</v>
      </c>
      <c r="H71" s="25"/>
      <c r="I71" s="25">
        <f t="shared" si="36"/>
        <v>0</v>
      </c>
      <c r="J71" s="25"/>
      <c r="K71" s="25">
        <f t="shared" si="37"/>
        <v>0</v>
      </c>
      <c r="L71" s="25"/>
      <c r="M71" s="25">
        <f t="shared" si="38"/>
        <v>0</v>
      </c>
      <c r="N71" s="25"/>
      <c r="O71" s="25">
        <f t="shared" si="39"/>
        <v>0</v>
      </c>
      <c r="P71" s="25"/>
      <c r="Q71" s="26">
        <f t="shared" si="40"/>
        <v>0</v>
      </c>
      <c r="R71" s="25"/>
      <c r="S71" s="27">
        <f t="shared" si="41"/>
        <v>0</v>
      </c>
    </row>
    <row r="72" spans="1:19">
      <c r="A72" s="28">
        <v>23</v>
      </c>
      <c r="B72" s="25"/>
      <c r="C72" s="25">
        <f t="shared" si="33"/>
        <v>0</v>
      </c>
      <c r="D72" s="25"/>
      <c r="E72" s="25">
        <f t="shared" si="34"/>
        <v>0</v>
      </c>
      <c r="F72" s="25"/>
      <c r="G72" s="25">
        <f t="shared" si="35"/>
        <v>0</v>
      </c>
      <c r="H72" s="25"/>
      <c r="I72" s="25">
        <f t="shared" si="36"/>
        <v>0</v>
      </c>
      <c r="J72" s="25"/>
      <c r="K72" s="25">
        <f t="shared" si="37"/>
        <v>0</v>
      </c>
      <c r="L72" s="25"/>
      <c r="M72" s="25">
        <f t="shared" si="38"/>
        <v>0</v>
      </c>
      <c r="N72" s="25"/>
      <c r="O72" s="25">
        <f t="shared" si="39"/>
        <v>0</v>
      </c>
      <c r="P72" s="25"/>
      <c r="Q72" s="26">
        <f t="shared" si="40"/>
        <v>0</v>
      </c>
      <c r="R72" s="25"/>
      <c r="S72" s="27">
        <f t="shared" si="41"/>
        <v>0</v>
      </c>
    </row>
    <row r="73" spans="1:19">
      <c r="A73" s="28">
        <v>24</v>
      </c>
      <c r="B73" s="25"/>
      <c r="C73" s="25">
        <f t="shared" si="33"/>
        <v>0</v>
      </c>
      <c r="D73" s="25"/>
      <c r="E73" s="25">
        <f t="shared" si="34"/>
        <v>0</v>
      </c>
      <c r="F73" s="25"/>
      <c r="G73" s="25">
        <f t="shared" si="35"/>
        <v>0</v>
      </c>
      <c r="H73" s="25"/>
      <c r="I73" s="25">
        <f t="shared" si="36"/>
        <v>0</v>
      </c>
      <c r="J73" s="25"/>
      <c r="K73" s="25">
        <f t="shared" si="37"/>
        <v>0</v>
      </c>
      <c r="L73" s="25"/>
      <c r="M73" s="25">
        <f t="shared" si="38"/>
        <v>0</v>
      </c>
      <c r="N73" s="25"/>
      <c r="O73" s="25">
        <f t="shared" si="39"/>
        <v>0</v>
      </c>
      <c r="P73" s="25"/>
      <c r="Q73" s="26">
        <f t="shared" si="40"/>
        <v>0</v>
      </c>
      <c r="R73" s="25"/>
      <c r="S73" s="27">
        <f t="shared" si="41"/>
        <v>0</v>
      </c>
    </row>
    <row r="74" spans="1:19">
      <c r="A74" s="28">
        <v>25</v>
      </c>
      <c r="B74" s="25"/>
      <c r="C74" s="25">
        <f t="shared" si="33"/>
        <v>0</v>
      </c>
      <c r="D74" s="25"/>
      <c r="E74" s="25">
        <f t="shared" si="34"/>
        <v>0</v>
      </c>
      <c r="F74" s="25"/>
      <c r="G74" s="25">
        <f t="shared" si="35"/>
        <v>0</v>
      </c>
      <c r="H74" s="25"/>
      <c r="I74" s="25">
        <f t="shared" si="36"/>
        <v>0</v>
      </c>
      <c r="J74" s="25"/>
      <c r="K74" s="25">
        <f t="shared" si="37"/>
        <v>0</v>
      </c>
      <c r="L74" s="25"/>
      <c r="M74" s="25">
        <f t="shared" si="38"/>
        <v>0</v>
      </c>
      <c r="N74" s="25"/>
      <c r="O74" s="25">
        <f t="shared" si="39"/>
        <v>0</v>
      </c>
      <c r="P74" s="25"/>
      <c r="Q74" s="26">
        <f t="shared" si="40"/>
        <v>0</v>
      </c>
      <c r="R74" s="25"/>
      <c r="S74" s="27">
        <f t="shared" si="41"/>
        <v>0</v>
      </c>
    </row>
    <row r="75" spans="1:19">
      <c r="A75" s="28">
        <v>26</v>
      </c>
      <c r="B75" s="25"/>
      <c r="C75" s="25">
        <f t="shared" si="33"/>
        <v>0</v>
      </c>
      <c r="D75" s="25"/>
      <c r="E75" s="25">
        <f t="shared" si="34"/>
        <v>0</v>
      </c>
      <c r="F75" s="25"/>
      <c r="G75" s="25">
        <f t="shared" si="35"/>
        <v>0</v>
      </c>
      <c r="H75" s="25"/>
      <c r="I75" s="25">
        <f t="shared" si="36"/>
        <v>0</v>
      </c>
      <c r="J75" s="25"/>
      <c r="K75" s="25">
        <f t="shared" si="37"/>
        <v>0</v>
      </c>
      <c r="L75" s="25"/>
      <c r="M75" s="25">
        <f t="shared" si="38"/>
        <v>0</v>
      </c>
      <c r="N75" s="25"/>
      <c r="O75" s="25">
        <f t="shared" si="39"/>
        <v>0</v>
      </c>
      <c r="P75" s="25"/>
      <c r="Q75" s="26">
        <f t="shared" si="40"/>
        <v>0</v>
      </c>
      <c r="R75" s="25"/>
      <c r="S75" s="27">
        <f t="shared" si="41"/>
        <v>0</v>
      </c>
    </row>
    <row r="76" spans="1:19">
      <c r="A76" s="28">
        <v>27</v>
      </c>
      <c r="B76" s="25"/>
      <c r="C76" s="25">
        <f t="shared" si="33"/>
        <v>0</v>
      </c>
      <c r="D76" s="25"/>
      <c r="E76" s="25">
        <f t="shared" si="34"/>
        <v>0</v>
      </c>
      <c r="F76" s="25"/>
      <c r="G76" s="25">
        <f t="shared" si="35"/>
        <v>0</v>
      </c>
      <c r="H76" s="25"/>
      <c r="I76" s="25">
        <f t="shared" si="36"/>
        <v>0</v>
      </c>
      <c r="J76" s="25"/>
      <c r="K76" s="25">
        <f t="shared" si="37"/>
        <v>0</v>
      </c>
      <c r="L76" s="25"/>
      <c r="M76" s="25">
        <f t="shared" si="38"/>
        <v>0</v>
      </c>
      <c r="N76" s="25"/>
      <c r="O76" s="25">
        <f t="shared" si="39"/>
        <v>0</v>
      </c>
      <c r="P76" s="25"/>
      <c r="Q76" s="26">
        <f t="shared" si="40"/>
        <v>0</v>
      </c>
      <c r="R76" s="25"/>
      <c r="S76" s="27">
        <f t="shared" si="41"/>
        <v>0</v>
      </c>
    </row>
    <row r="77" spans="1:19">
      <c r="A77" s="28">
        <v>28</v>
      </c>
      <c r="B77" s="25"/>
      <c r="C77" s="25">
        <f t="shared" si="33"/>
        <v>0</v>
      </c>
      <c r="D77" s="25"/>
      <c r="E77" s="25">
        <f t="shared" si="34"/>
        <v>0</v>
      </c>
      <c r="F77" s="25"/>
      <c r="G77" s="25">
        <f t="shared" si="35"/>
        <v>0</v>
      </c>
      <c r="H77" s="25"/>
      <c r="I77" s="25">
        <f t="shared" si="36"/>
        <v>0</v>
      </c>
      <c r="J77" s="25"/>
      <c r="K77" s="25">
        <f t="shared" si="37"/>
        <v>0</v>
      </c>
      <c r="L77" s="25"/>
      <c r="M77" s="25">
        <f t="shared" si="38"/>
        <v>0</v>
      </c>
      <c r="N77" s="25"/>
      <c r="O77" s="25">
        <f t="shared" si="39"/>
        <v>0</v>
      </c>
      <c r="P77" s="25"/>
      <c r="Q77" s="26">
        <f t="shared" si="40"/>
        <v>0</v>
      </c>
      <c r="R77" s="25"/>
      <c r="S77" s="27">
        <f t="shared" si="41"/>
        <v>0</v>
      </c>
    </row>
    <row r="78" spans="1:19">
      <c r="A78" s="28">
        <v>29</v>
      </c>
      <c r="B78" s="25"/>
      <c r="C78" s="25">
        <f t="shared" si="33"/>
        <v>0</v>
      </c>
      <c r="D78" s="25"/>
      <c r="E78" s="25">
        <f t="shared" si="34"/>
        <v>0</v>
      </c>
      <c r="F78" s="25"/>
      <c r="G78" s="25">
        <f t="shared" si="35"/>
        <v>0</v>
      </c>
      <c r="H78" s="25"/>
      <c r="I78" s="25">
        <f t="shared" si="36"/>
        <v>0</v>
      </c>
      <c r="J78" s="25"/>
      <c r="K78" s="25">
        <f t="shared" si="37"/>
        <v>0</v>
      </c>
      <c r="L78" s="25"/>
      <c r="M78" s="25">
        <f t="shared" si="38"/>
        <v>0</v>
      </c>
      <c r="N78" s="25"/>
      <c r="O78" s="25">
        <f t="shared" si="39"/>
        <v>0</v>
      </c>
      <c r="P78" s="25"/>
      <c r="Q78" s="26">
        <f t="shared" si="40"/>
        <v>0</v>
      </c>
      <c r="R78" s="25"/>
      <c r="S78" s="27">
        <f t="shared" si="41"/>
        <v>0</v>
      </c>
    </row>
    <row r="79" spans="1:19">
      <c r="A79" s="28">
        <v>30</v>
      </c>
      <c r="B79" s="25"/>
      <c r="C79" s="25">
        <f t="shared" si="33"/>
        <v>0</v>
      </c>
      <c r="D79" s="25"/>
      <c r="E79" s="25">
        <f t="shared" si="34"/>
        <v>0</v>
      </c>
      <c r="F79" s="25"/>
      <c r="G79" s="25">
        <f t="shared" si="35"/>
        <v>0</v>
      </c>
      <c r="H79" s="25"/>
      <c r="I79" s="25">
        <f t="shared" si="36"/>
        <v>0</v>
      </c>
      <c r="J79" s="25"/>
      <c r="K79" s="25">
        <f t="shared" si="37"/>
        <v>0</v>
      </c>
      <c r="L79" s="25"/>
      <c r="M79" s="25">
        <f t="shared" si="38"/>
        <v>0</v>
      </c>
      <c r="N79" s="25"/>
      <c r="O79" s="25">
        <f t="shared" si="39"/>
        <v>0</v>
      </c>
      <c r="P79" s="25"/>
      <c r="Q79" s="26">
        <f t="shared" si="40"/>
        <v>0</v>
      </c>
      <c r="R79" s="25"/>
      <c r="S79" s="27">
        <f t="shared" si="41"/>
        <v>0</v>
      </c>
    </row>
    <row r="80" spans="1:19" ht="44.25" customHeight="1">
      <c r="A80" s="39"/>
      <c r="B80" s="29" t="s">
        <v>11</v>
      </c>
      <c r="C80" s="30">
        <f>SUM(C50:C79)</f>
        <v>960</v>
      </c>
      <c r="D80" s="29" t="s">
        <v>11</v>
      </c>
      <c r="E80" s="30">
        <f>SUM(E50:E79)</f>
        <v>600</v>
      </c>
      <c r="F80" s="29" t="s">
        <v>11</v>
      </c>
      <c r="G80" s="30">
        <f>SUM(G50:G79)</f>
        <v>3460</v>
      </c>
      <c r="H80" s="29" t="s">
        <v>11</v>
      </c>
      <c r="I80" s="30">
        <f>SUM(I50:I79)</f>
        <v>560</v>
      </c>
      <c r="J80" s="29" t="s">
        <v>11</v>
      </c>
      <c r="K80" s="30">
        <f>SUM(K50:K79)</f>
        <v>2360</v>
      </c>
      <c r="L80" s="29" t="s">
        <v>11</v>
      </c>
      <c r="M80" s="30">
        <f>SUM(M50:M79)</f>
        <v>640</v>
      </c>
      <c r="N80" s="29" t="s">
        <v>11</v>
      </c>
      <c r="O80" s="30">
        <f>SUM(O50:O79)</f>
        <v>2580</v>
      </c>
      <c r="P80" s="29" t="s">
        <v>11</v>
      </c>
      <c r="Q80" s="30">
        <f>SUM(Q50:Q79)</f>
        <v>780</v>
      </c>
      <c r="R80" s="29" t="s">
        <v>11</v>
      </c>
      <c r="S80" s="27">
        <f>SUM(S50:S79)</f>
        <v>1440</v>
      </c>
    </row>
    <row r="81" spans="1:19" ht="39.75" customHeight="1" thickBot="1">
      <c r="A81" s="40"/>
      <c r="B81" s="31" t="s">
        <v>14</v>
      </c>
      <c r="C81" s="30">
        <f>IF(C80=0,9,RANK(C80,$C$80:$S$80,0))</f>
        <v>5</v>
      </c>
      <c r="D81" s="31" t="s">
        <v>14</v>
      </c>
      <c r="E81" s="30">
        <f t="shared" ref="E81" si="42">IF(E80=0,9,RANK(E80,$C$80:$S$80,0))</f>
        <v>8</v>
      </c>
      <c r="F81" s="31" t="s">
        <v>14</v>
      </c>
      <c r="G81" s="30">
        <f t="shared" ref="G81" si="43">IF(G80=0,9,RANK(G80,$C$80:$S$80,0))</f>
        <v>1</v>
      </c>
      <c r="H81" s="31" t="s">
        <v>14</v>
      </c>
      <c r="I81" s="30">
        <f t="shared" ref="I81" si="44">IF(I80=0,9,RANK(I80,$C$80:$S$80,0))</f>
        <v>9</v>
      </c>
      <c r="J81" s="31" t="s">
        <v>14</v>
      </c>
      <c r="K81" s="30">
        <f t="shared" ref="K81" si="45">IF(K80=0,9,RANK(K80,$C$80:$S$80,0))</f>
        <v>3</v>
      </c>
      <c r="L81" s="31" t="s">
        <v>14</v>
      </c>
      <c r="M81" s="30">
        <f t="shared" ref="M81" si="46">IF(M80=0,9,RANK(M80,$C$80:$S$80,0))</f>
        <v>7</v>
      </c>
      <c r="N81" s="31" t="s">
        <v>14</v>
      </c>
      <c r="O81" s="30">
        <f t="shared" ref="O81" si="47">IF(O80=0,9,RANK(O80,$C$80:$S$80,0))</f>
        <v>2</v>
      </c>
      <c r="P81" s="31" t="s">
        <v>14</v>
      </c>
      <c r="Q81" s="30">
        <f t="shared" ref="Q81" si="48">IF(Q80=0,9,RANK(Q80,$C$80:$S$80,0))</f>
        <v>6</v>
      </c>
      <c r="R81" s="31" t="s">
        <v>14</v>
      </c>
      <c r="S81" s="38">
        <f t="shared" ref="S81" si="49">IF(S80=0,9,RANK(S80,$C$80:$S$80,0))</f>
        <v>4</v>
      </c>
    </row>
    <row r="82" spans="1:19">
      <c r="A82" s="32"/>
      <c r="B82" s="141" t="s">
        <v>29</v>
      </c>
      <c r="C82" s="137">
        <f>COUNT(B50:B79)</f>
        <v>1</v>
      </c>
      <c r="D82" s="141" t="s">
        <v>29</v>
      </c>
      <c r="E82" s="137">
        <f t="shared" ref="E82" si="50">COUNT(D50:D79)</f>
        <v>1</v>
      </c>
      <c r="F82" s="141" t="s">
        <v>29</v>
      </c>
      <c r="G82" s="137">
        <f t="shared" ref="G82" si="51">COUNT(F50:F79)</f>
        <v>5</v>
      </c>
      <c r="H82" s="141" t="s">
        <v>29</v>
      </c>
      <c r="I82" s="137">
        <f t="shared" ref="I82" si="52">COUNT(H50:H79)</f>
        <v>1</v>
      </c>
      <c r="J82" s="141" t="s">
        <v>29</v>
      </c>
      <c r="K82" s="137">
        <f t="shared" ref="K82" si="53">COUNT(J50:J79)</f>
        <v>4</v>
      </c>
      <c r="L82" s="141" t="s">
        <v>29</v>
      </c>
      <c r="M82" s="137">
        <f t="shared" ref="M82" si="54">COUNT(L50:L79)</f>
        <v>1</v>
      </c>
      <c r="N82" s="141" t="s">
        <v>29</v>
      </c>
      <c r="O82" s="137">
        <f t="shared" ref="O82" si="55">COUNT(N50:N79)</f>
        <v>4</v>
      </c>
      <c r="P82" s="141" t="s">
        <v>29</v>
      </c>
      <c r="Q82" s="148">
        <f t="shared" ref="Q82" si="56">COUNT(P50:P79)</f>
        <v>1</v>
      </c>
      <c r="R82" s="141" t="s">
        <v>29</v>
      </c>
      <c r="S82" s="138">
        <f t="shared" ref="S82" si="57">COUNT(R50:R79)</f>
        <v>2</v>
      </c>
    </row>
    <row r="83" spans="1:19">
      <c r="A83" s="32"/>
      <c r="B83" s="141"/>
      <c r="C83" s="137"/>
      <c r="D83" s="141"/>
      <c r="E83" s="137"/>
      <c r="F83" s="141"/>
      <c r="G83" s="137"/>
      <c r="H83" s="141"/>
      <c r="I83" s="137"/>
      <c r="J83" s="141"/>
      <c r="K83" s="137"/>
      <c r="L83" s="141"/>
      <c r="M83" s="137"/>
      <c r="N83" s="141"/>
      <c r="O83" s="137"/>
      <c r="P83" s="141"/>
      <c r="Q83" s="148"/>
      <c r="R83" s="141"/>
      <c r="S83" s="138"/>
    </row>
    <row r="84" spans="1:19">
      <c r="A84" s="32"/>
      <c r="B84" s="141"/>
      <c r="C84" s="137"/>
      <c r="D84" s="141"/>
      <c r="E84" s="137"/>
      <c r="F84" s="141"/>
      <c r="G84" s="137"/>
      <c r="H84" s="141"/>
      <c r="I84" s="137"/>
      <c r="J84" s="141"/>
      <c r="K84" s="137"/>
      <c r="L84" s="141"/>
      <c r="M84" s="137"/>
      <c r="N84" s="141"/>
      <c r="O84" s="137"/>
      <c r="P84" s="141"/>
      <c r="Q84" s="148"/>
      <c r="R84" s="141"/>
      <c r="S84" s="138"/>
    </row>
    <row r="85" spans="1:19" ht="42.75" customHeight="1" thickBot="1">
      <c r="A85" s="33"/>
      <c r="B85" s="34" t="s">
        <v>30</v>
      </c>
      <c r="C85" s="34">
        <f>MAX(B50:B79)</f>
        <v>43</v>
      </c>
      <c r="D85" s="34" t="s">
        <v>30</v>
      </c>
      <c r="E85" s="34">
        <f t="shared" ref="E85" si="58">MAX(D50:D79)</f>
        <v>25</v>
      </c>
      <c r="F85" s="34" t="s">
        <v>30</v>
      </c>
      <c r="G85" s="34">
        <f t="shared" ref="G85" si="59">MAX(F50:F79)</f>
        <v>37</v>
      </c>
      <c r="H85" s="34" t="s">
        <v>30</v>
      </c>
      <c r="I85" s="34">
        <f t="shared" ref="I85" si="60">MAX(H50:H79)</f>
        <v>23</v>
      </c>
      <c r="J85" s="34" t="s">
        <v>30</v>
      </c>
      <c r="K85" s="34">
        <f t="shared" ref="K85" si="61">MAX(J50:J79)</f>
        <v>30</v>
      </c>
      <c r="L85" s="34" t="s">
        <v>30</v>
      </c>
      <c r="M85" s="34">
        <f t="shared" ref="M85" si="62">MAX(L50:L79)</f>
        <v>27</v>
      </c>
      <c r="N85" s="34" t="s">
        <v>30</v>
      </c>
      <c r="O85" s="34">
        <f t="shared" ref="O85" si="63">MAX(N50:N79)</f>
        <v>29</v>
      </c>
      <c r="P85" s="34" t="s">
        <v>30</v>
      </c>
      <c r="Q85" s="72">
        <f t="shared" ref="Q85" si="64">MAX(P50:P79)</f>
        <v>34</v>
      </c>
      <c r="R85" s="34" t="s">
        <v>30</v>
      </c>
      <c r="S85" s="73">
        <f t="shared" ref="S85" si="65">MAX(R50:R79)</f>
        <v>32</v>
      </c>
    </row>
    <row r="86" spans="1:19">
      <c r="A86" s="14"/>
      <c r="B86" s="14"/>
      <c r="C86" s="14"/>
      <c r="D86" s="14"/>
      <c r="E86" s="14"/>
      <c r="F86" s="14"/>
      <c r="G86" s="14"/>
      <c r="H86" s="14"/>
      <c r="I86" s="14"/>
      <c r="J86" s="14"/>
      <c r="K86" s="14"/>
      <c r="L86" s="14"/>
      <c r="M86" s="14"/>
      <c r="N86" s="14"/>
      <c r="O86" s="14"/>
      <c r="P86" s="14"/>
      <c r="Q86" s="14"/>
      <c r="R86" s="14"/>
      <c r="S86" s="14"/>
    </row>
    <row r="87" spans="1:19">
      <c r="A87" s="14"/>
      <c r="B87" s="14"/>
      <c r="C87" s="14"/>
      <c r="D87" s="14"/>
      <c r="E87" s="14"/>
      <c r="F87" s="14"/>
      <c r="G87" s="14"/>
      <c r="H87" s="14"/>
      <c r="I87" s="14"/>
      <c r="J87" s="14"/>
      <c r="K87" s="14"/>
      <c r="L87" s="14"/>
      <c r="M87" s="14"/>
      <c r="N87" s="14"/>
      <c r="O87" s="14"/>
      <c r="P87" s="14"/>
      <c r="Q87" s="14"/>
      <c r="R87" s="14"/>
      <c r="S87" s="14"/>
    </row>
    <row r="88" spans="1:19" ht="15.75" thickBot="1">
      <c r="A88" s="14"/>
      <c r="B88" s="14"/>
      <c r="C88" s="14"/>
      <c r="D88" s="14"/>
      <c r="E88" s="14"/>
      <c r="F88" s="14"/>
      <c r="G88" s="14"/>
      <c r="H88" s="14"/>
      <c r="I88" s="14"/>
      <c r="J88" s="14"/>
      <c r="K88" s="14"/>
      <c r="L88" s="14"/>
      <c r="M88" s="14"/>
      <c r="N88" s="14"/>
      <c r="O88" s="14"/>
      <c r="P88" s="14"/>
      <c r="Q88" s="14"/>
      <c r="R88" s="14"/>
      <c r="S88" s="14"/>
    </row>
    <row r="89" spans="1:19" ht="15" customHeight="1">
      <c r="A89" s="161" t="s">
        <v>20</v>
      </c>
      <c r="B89" s="162"/>
      <c r="C89" s="162"/>
      <c r="D89" s="162"/>
      <c r="E89" s="162"/>
      <c r="F89" s="162"/>
      <c r="G89" s="162"/>
      <c r="H89" s="162"/>
      <c r="I89" s="162"/>
      <c r="J89" s="162"/>
      <c r="K89" s="162"/>
      <c r="L89" s="162"/>
      <c r="M89" s="162"/>
      <c r="N89" s="162"/>
      <c r="O89" s="162"/>
      <c r="P89" s="162"/>
      <c r="Q89" s="162"/>
      <c r="R89" s="162"/>
      <c r="S89" s="163"/>
    </row>
    <row r="90" spans="1:19" ht="15" customHeight="1">
      <c r="A90" s="164"/>
      <c r="B90" s="165"/>
      <c r="C90" s="165"/>
      <c r="D90" s="165"/>
      <c r="E90" s="165"/>
      <c r="F90" s="165"/>
      <c r="G90" s="165"/>
      <c r="H90" s="165"/>
      <c r="I90" s="165"/>
      <c r="J90" s="165"/>
      <c r="K90" s="165"/>
      <c r="L90" s="165"/>
      <c r="M90" s="165"/>
      <c r="N90" s="165"/>
      <c r="O90" s="165"/>
      <c r="P90" s="165"/>
      <c r="Q90" s="165"/>
      <c r="R90" s="165"/>
      <c r="S90" s="166"/>
    </row>
    <row r="91" spans="1:19">
      <c r="A91" s="152" t="s">
        <v>15</v>
      </c>
      <c r="B91" s="137" t="s">
        <v>10</v>
      </c>
      <c r="C91" s="137"/>
      <c r="D91" s="137" t="s">
        <v>10</v>
      </c>
      <c r="E91" s="137"/>
      <c r="F91" s="137" t="s">
        <v>10</v>
      </c>
      <c r="G91" s="137"/>
      <c r="H91" s="137" t="s">
        <v>10</v>
      </c>
      <c r="I91" s="137"/>
      <c r="J91" s="137" t="s">
        <v>10</v>
      </c>
      <c r="K91" s="137"/>
      <c r="L91" s="137" t="s">
        <v>10</v>
      </c>
      <c r="M91" s="137"/>
      <c r="N91" s="137" t="s">
        <v>10</v>
      </c>
      <c r="O91" s="137"/>
      <c r="P91" s="137" t="s">
        <v>10</v>
      </c>
      <c r="Q91" s="148"/>
      <c r="R91" s="137" t="s">
        <v>10</v>
      </c>
      <c r="S91" s="138"/>
    </row>
    <row r="92" spans="1:19" ht="18.75">
      <c r="A92" s="152"/>
      <c r="B92" s="139" t="str">
        <f>TABELA!K10</f>
        <v>SAVO RAIČEVIĆ</v>
      </c>
      <c r="C92" s="139"/>
      <c r="D92" s="139" t="str">
        <f>TABELA!K11</f>
        <v>NIKOLA TREBJEŠANIN</v>
      </c>
      <c r="E92" s="139"/>
      <c r="F92" s="139" t="str">
        <f>TABELA!K12</f>
        <v>MILUN ĐUROVIĆ</v>
      </c>
      <c r="G92" s="139"/>
      <c r="H92" s="139" t="str">
        <f>TABELA!K13</f>
        <v>DAMIR CANOVIĆ</v>
      </c>
      <c r="I92" s="139"/>
      <c r="J92" s="139" t="str">
        <f>TABELA!K14</f>
        <v>ALEKSANDAR GAŠEVIĆ</v>
      </c>
      <c r="K92" s="139"/>
      <c r="L92" s="139" t="str">
        <f>TABELA!K15</f>
        <v>BOGDAN MARKOVIĆ</v>
      </c>
      <c r="M92" s="139"/>
      <c r="N92" s="139" t="str">
        <f>TABELA!K16</f>
        <v>MARKO BAKIĆ</v>
      </c>
      <c r="O92" s="139"/>
      <c r="P92" s="139" t="str">
        <f>TABELA!K17</f>
        <v>MUMIN HEKALO</v>
      </c>
      <c r="Q92" s="151"/>
      <c r="R92" s="139" t="str">
        <f>TABELA!K18</f>
        <v>IVICA RAJKOVIĆ</v>
      </c>
      <c r="S92" s="140"/>
    </row>
    <row r="93" spans="1:19">
      <c r="A93" s="152"/>
      <c r="B93" s="25" t="s">
        <v>12</v>
      </c>
      <c r="C93" s="25" t="s">
        <v>13</v>
      </c>
      <c r="D93" s="25" t="s">
        <v>12</v>
      </c>
      <c r="E93" s="25" t="s">
        <v>13</v>
      </c>
      <c r="F93" s="25" t="s">
        <v>12</v>
      </c>
      <c r="G93" s="25" t="s">
        <v>13</v>
      </c>
      <c r="H93" s="25" t="s">
        <v>12</v>
      </c>
      <c r="I93" s="25" t="s">
        <v>13</v>
      </c>
      <c r="J93" s="25" t="s">
        <v>12</v>
      </c>
      <c r="K93" s="25" t="s">
        <v>13</v>
      </c>
      <c r="L93" s="25" t="s">
        <v>12</v>
      </c>
      <c r="M93" s="25" t="s">
        <v>13</v>
      </c>
      <c r="N93" s="25" t="s">
        <v>12</v>
      </c>
      <c r="O93" s="25" t="s">
        <v>13</v>
      </c>
      <c r="P93" s="25" t="s">
        <v>12</v>
      </c>
      <c r="Q93" s="26" t="s">
        <v>13</v>
      </c>
      <c r="R93" s="25" t="s">
        <v>12</v>
      </c>
      <c r="S93" s="27" t="s">
        <v>13</v>
      </c>
    </row>
    <row r="94" spans="1:19">
      <c r="A94" s="28">
        <v>1</v>
      </c>
      <c r="B94" s="25">
        <v>20</v>
      </c>
      <c r="C94" s="25">
        <f>IF(B94,B94*20+100,0)</f>
        <v>500</v>
      </c>
      <c r="D94" s="25">
        <v>27</v>
      </c>
      <c r="E94" s="25">
        <f>IF(D94,D94*20+100,0)</f>
        <v>640</v>
      </c>
      <c r="F94" s="25">
        <v>25</v>
      </c>
      <c r="G94" s="25">
        <f>IF(F94,F94*20+100,0)</f>
        <v>600</v>
      </c>
      <c r="H94" s="25">
        <v>20</v>
      </c>
      <c r="I94" s="25">
        <f>IF(H94,H94*20+100,0)</f>
        <v>500</v>
      </c>
      <c r="J94" s="25">
        <v>28</v>
      </c>
      <c r="K94" s="25">
        <f>IF(J94,J94*20+100,0)</f>
        <v>660</v>
      </c>
      <c r="L94" s="25">
        <v>28</v>
      </c>
      <c r="M94" s="25">
        <f>IF(L94,L94*20+100,0)</f>
        <v>660</v>
      </c>
      <c r="N94" s="25">
        <v>27</v>
      </c>
      <c r="O94" s="25">
        <f>IF(N94,N94*20+100,0)</f>
        <v>640</v>
      </c>
      <c r="P94" s="25"/>
      <c r="Q94" s="26">
        <f>IF(P94,P94*20+100,0)</f>
        <v>0</v>
      </c>
      <c r="R94" s="25"/>
      <c r="S94" s="27">
        <f>IF(R94,R94*20+100,0)</f>
        <v>0</v>
      </c>
    </row>
    <row r="95" spans="1:19">
      <c r="A95" s="28">
        <v>2</v>
      </c>
      <c r="B95" s="25"/>
      <c r="C95" s="25">
        <f t="shared" ref="C95:C123" si="66">IF(B95,B95*20+100,0)</f>
        <v>0</v>
      </c>
      <c r="D95" s="25"/>
      <c r="E95" s="25">
        <f t="shared" ref="E95:E123" si="67">IF(D95,D95*20+100,0)</f>
        <v>0</v>
      </c>
      <c r="F95" s="25">
        <v>20</v>
      </c>
      <c r="G95" s="25">
        <f t="shared" ref="G95:G123" si="68">IF(F95,F95*20+100,0)</f>
        <v>500</v>
      </c>
      <c r="H95" s="25"/>
      <c r="I95" s="25">
        <f t="shared" ref="I95:I123" si="69">IF(H95,H95*20+100,0)</f>
        <v>0</v>
      </c>
      <c r="J95" s="25"/>
      <c r="K95" s="25">
        <f t="shared" ref="K95:K123" si="70">IF(J95,J95*20+100,0)</f>
        <v>0</v>
      </c>
      <c r="L95" s="25"/>
      <c r="M95" s="25">
        <f t="shared" ref="M95:M123" si="71">IF(L95,L95*20+100,0)</f>
        <v>0</v>
      </c>
      <c r="N95" s="25">
        <v>31</v>
      </c>
      <c r="O95" s="25">
        <f t="shared" ref="O95:O123" si="72">IF(N95,N95*20+100,0)</f>
        <v>720</v>
      </c>
      <c r="P95" s="25"/>
      <c r="Q95" s="26">
        <f t="shared" ref="Q95:Q123" si="73">IF(P95,P95*20+100,0)</f>
        <v>0</v>
      </c>
      <c r="R95" s="25"/>
      <c r="S95" s="27">
        <f t="shared" ref="S95:S123" si="74">IF(R95,R95*20+100,0)</f>
        <v>0</v>
      </c>
    </row>
    <row r="96" spans="1:19">
      <c r="A96" s="28">
        <v>3</v>
      </c>
      <c r="B96" s="25"/>
      <c r="C96" s="25">
        <f t="shared" si="66"/>
        <v>0</v>
      </c>
      <c r="D96" s="25"/>
      <c r="E96" s="25">
        <f t="shared" si="67"/>
        <v>0</v>
      </c>
      <c r="F96" s="25">
        <v>27</v>
      </c>
      <c r="G96" s="25">
        <f t="shared" si="68"/>
        <v>640</v>
      </c>
      <c r="H96" s="25"/>
      <c r="I96" s="25">
        <f t="shared" si="69"/>
        <v>0</v>
      </c>
      <c r="J96" s="25"/>
      <c r="K96" s="25">
        <f t="shared" si="70"/>
        <v>0</v>
      </c>
      <c r="L96" s="25"/>
      <c r="M96" s="25">
        <f t="shared" si="71"/>
        <v>0</v>
      </c>
      <c r="N96" s="25"/>
      <c r="O96" s="25">
        <f t="shared" si="72"/>
        <v>0</v>
      </c>
      <c r="P96" s="25"/>
      <c r="Q96" s="26">
        <f t="shared" si="73"/>
        <v>0</v>
      </c>
      <c r="R96" s="25"/>
      <c r="S96" s="27">
        <f t="shared" si="74"/>
        <v>0</v>
      </c>
    </row>
    <row r="97" spans="1:19">
      <c r="A97" s="28">
        <v>4</v>
      </c>
      <c r="B97" s="25"/>
      <c r="C97" s="25">
        <f t="shared" si="66"/>
        <v>0</v>
      </c>
      <c r="D97" s="25"/>
      <c r="E97" s="25">
        <f t="shared" si="67"/>
        <v>0</v>
      </c>
      <c r="F97" s="25">
        <v>35</v>
      </c>
      <c r="G97" s="25">
        <f t="shared" si="68"/>
        <v>800</v>
      </c>
      <c r="H97" s="25"/>
      <c r="I97" s="25">
        <f t="shared" si="69"/>
        <v>0</v>
      </c>
      <c r="J97" s="25"/>
      <c r="K97" s="25">
        <f t="shared" si="70"/>
        <v>0</v>
      </c>
      <c r="L97" s="25"/>
      <c r="M97" s="25">
        <f t="shared" si="71"/>
        <v>0</v>
      </c>
      <c r="N97" s="25"/>
      <c r="O97" s="25">
        <f t="shared" si="72"/>
        <v>0</v>
      </c>
      <c r="P97" s="25"/>
      <c r="Q97" s="26">
        <f t="shared" si="73"/>
        <v>0</v>
      </c>
      <c r="R97" s="25"/>
      <c r="S97" s="27">
        <f t="shared" si="74"/>
        <v>0</v>
      </c>
    </row>
    <row r="98" spans="1:19">
      <c r="A98" s="28">
        <v>5</v>
      </c>
      <c r="B98" s="25"/>
      <c r="C98" s="25">
        <f t="shared" si="66"/>
        <v>0</v>
      </c>
      <c r="D98" s="25"/>
      <c r="E98" s="25">
        <f t="shared" si="67"/>
        <v>0</v>
      </c>
      <c r="F98" s="25">
        <v>28</v>
      </c>
      <c r="G98" s="25">
        <f t="shared" si="68"/>
        <v>660</v>
      </c>
      <c r="H98" s="25"/>
      <c r="I98" s="25">
        <f t="shared" si="69"/>
        <v>0</v>
      </c>
      <c r="J98" s="25"/>
      <c r="K98" s="25">
        <f t="shared" si="70"/>
        <v>0</v>
      </c>
      <c r="L98" s="25"/>
      <c r="M98" s="25">
        <f t="shared" si="71"/>
        <v>0</v>
      </c>
      <c r="N98" s="25"/>
      <c r="O98" s="25">
        <f t="shared" si="72"/>
        <v>0</v>
      </c>
      <c r="P98" s="25"/>
      <c r="Q98" s="26">
        <f t="shared" si="73"/>
        <v>0</v>
      </c>
      <c r="R98" s="25"/>
      <c r="S98" s="27">
        <f t="shared" si="74"/>
        <v>0</v>
      </c>
    </row>
    <row r="99" spans="1:19">
      <c r="A99" s="28">
        <v>6</v>
      </c>
      <c r="B99" s="25"/>
      <c r="C99" s="25">
        <f t="shared" si="66"/>
        <v>0</v>
      </c>
      <c r="D99" s="25"/>
      <c r="E99" s="25">
        <f t="shared" si="67"/>
        <v>0</v>
      </c>
      <c r="F99" s="25">
        <v>30</v>
      </c>
      <c r="G99" s="25">
        <f t="shared" si="68"/>
        <v>700</v>
      </c>
      <c r="H99" s="25"/>
      <c r="I99" s="25">
        <f t="shared" si="69"/>
        <v>0</v>
      </c>
      <c r="J99" s="25"/>
      <c r="K99" s="25">
        <f t="shared" si="70"/>
        <v>0</v>
      </c>
      <c r="L99" s="25"/>
      <c r="M99" s="25">
        <f t="shared" si="71"/>
        <v>0</v>
      </c>
      <c r="N99" s="25"/>
      <c r="O99" s="25">
        <f t="shared" si="72"/>
        <v>0</v>
      </c>
      <c r="P99" s="25"/>
      <c r="Q99" s="26">
        <f t="shared" si="73"/>
        <v>0</v>
      </c>
      <c r="R99" s="25"/>
      <c r="S99" s="27">
        <f t="shared" si="74"/>
        <v>0</v>
      </c>
    </row>
    <row r="100" spans="1:19">
      <c r="A100" s="28">
        <v>7</v>
      </c>
      <c r="B100" s="25"/>
      <c r="C100" s="25">
        <f t="shared" si="66"/>
        <v>0</v>
      </c>
      <c r="D100" s="25"/>
      <c r="E100" s="25">
        <f t="shared" si="67"/>
        <v>0</v>
      </c>
      <c r="F100" s="25">
        <v>30</v>
      </c>
      <c r="G100" s="25">
        <f t="shared" si="68"/>
        <v>700</v>
      </c>
      <c r="H100" s="25"/>
      <c r="I100" s="25">
        <f t="shared" si="69"/>
        <v>0</v>
      </c>
      <c r="J100" s="25"/>
      <c r="K100" s="25">
        <f t="shared" si="70"/>
        <v>0</v>
      </c>
      <c r="L100" s="25"/>
      <c r="M100" s="25">
        <f t="shared" si="71"/>
        <v>0</v>
      </c>
      <c r="N100" s="25"/>
      <c r="O100" s="25">
        <f t="shared" si="72"/>
        <v>0</v>
      </c>
      <c r="P100" s="25"/>
      <c r="Q100" s="26">
        <f t="shared" si="73"/>
        <v>0</v>
      </c>
      <c r="R100" s="25"/>
      <c r="S100" s="27">
        <f t="shared" si="74"/>
        <v>0</v>
      </c>
    </row>
    <row r="101" spans="1:19">
      <c r="A101" s="28">
        <v>8</v>
      </c>
      <c r="B101" s="25"/>
      <c r="C101" s="25">
        <f t="shared" si="66"/>
        <v>0</v>
      </c>
      <c r="D101" s="25"/>
      <c r="E101" s="25">
        <f t="shared" si="67"/>
        <v>0</v>
      </c>
      <c r="F101" s="25"/>
      <c r="G101" s="25">
        <f t="shared" si="68"/>
        <v>0</v>
      </c>
      <c r="H101" s="25"/>
      <c r="I101" s="25">
        <f t="shared" si="69"/>
        <v>0</v>
      </c>
      <c r="J101" s="25"/>
      <c r="K101" s="25">
        <f t="shared" si="70"/>
        <v>0</v>
      </c>
      <c r="L101" s="25"/>
      <c r="M101" s="25">
        <f t="shared" si="71"/>
        <v>0</v>
      </c>
      <c r="N101" s="25"/>
      <c r="O101" s="25">
        <f t="shared" si="72"/>
        <v>0</v>
      </c>
      <c r="P101" s="25"/>
      <c r="Q101" s="26">
        <f t="shared" si="73"/>
        <v>0</v>
      </c>
      <c r="R101" s="25"/>
      <c r="S101" s="27">
        <f t="shared" si="74"/>
        <v>0</v>
      </c>
    </row>
    <row r="102" spans="1:19">
      <c r="A102" s="28">
        <v>9</v>
      </c>
      <c r="B102" s="25"/>
      <c r="C102" s="25">
        <f t="shared" si="66"/>
        <v>0</v>
      </c>
      <c r="D102" s="25"/>
      <c r="E102" s="25">
        <f t="shared" si="67"/>
        <v>0</v>
      </c>
      <c r="F102" s="25"/>
      <c r="G102" s="25">
        <f t="shared" si="68"/>
        <v>0</v>
      </c>
      <c r="H102" s="25"/>
      <c r="I102" s="25">
        <f t="shared" si="69"/>
        <v>0</v>
      </c>
      <c r="J102" s="25"/>
      <c r="K102" s="25">
        <f t="shared" si="70"/>
        <v>0</v>
      </c>
      <c r="L102" s="25"/>
      <c r="M102" s="25">
        <f t="shared" si="71"/>
        <v>0</v>
      </c>
      <c r="N102" s="25"/>
      <c r="O102" s="25">
        <f t="shared" si="72"/>
        <v>0</v>
      </c>
      <c r="P102" s="25"/>
      <c r="Q102" s="26">
        <f t="shared" si="73"/>
        <v>0</v>
      </c>
      <c r="R102" s="25"/>
      <c r="S102" s="27">
        <f t="shared" si="74"/>
        <v>0</v>
      </c>
    </row>
    <row r="103" spans="1:19">
      <c r="A103" s="28">
        <v>10</v>
      </c>
      <c r="B103" s="25"/>
      <c r="C103" s="25">
        <f t="shared" si="66"/>
        <v>0</v>
      </c>
      <c r="D103" s="25"/>
      <c r="E103" s="25">
        <f t="shared" si="67"/>
        <v>0</v>
      </c>
      <c r="F103" s="25"/>
      <c r="G103" s="25">
        <f t="shared" si="68"/>
        <v>0</v>
      </c>
      <c r="H103" s="25"/>
      <c r="I103" s="25">
        <f t="shared" si="69"/>
        <v>0</v>
      </c>
      <c r="J103" s="25"/>
      <c r="K103" s="25">
        <f t="shared" si="70"/>
        <v>0</v>
      </c>
      <c r="L103" s="25"/>
      <c r="M103" s="25">
        <f t="shared" si="71"/>
        <v>0</v>
      </c>
      <c r="N103" s="25"/>
      <c r="O103" s="25">
        <f t="shared" si="72"/>
        <v>0</v>
      </c>
      <c r="P103" s="25"/>
      <c r="Q103" s="26">
        <f t="shared" si="73"/>
        <v>0</v>
      </c>
      <c r="R103" s="25"/>
      <c r="S103" s="27">
        <f t="shared" si="74"/>
        <v>0</v>
      </c>
    </row>
    <row r="104" spans="1:19">
      <c r="A104" s="28">
        <v>11</v>
      </c>
      <c r="B104" s="25"/>
      <c r="C104" s="25">
        <f t="shared" si="66"/>
        <v>0</v>
      </c>
      <c r="D104" s="25"/>
      <c r="E104" s="25">
        <f t="shared" si="67"/>
        <v>0</v>
      </c>
      <c r="F104" s="25"/>
      <c r="G104" s="25">
        <f t="shared" si="68"/>
        <v>0</v>
      </c>
      <c r="H104" s="25"/>
      <c r="I104" s="25">
        <f t="shared" si="69"/>
        <v>0</v>
      </c>
      <c r="J104" s="25"/>
      <c r="K104" s="25">
        <f t="shared" si="70"/>
        <v>0</v>
      </c>
      <c r="L104" s="25"/>
      <c r="M104" s="25">
        <f t="shared" si="71"/>
        <v>0</v>
      </c>
      <c r="N104" s="25"/>
      <c r="O104" s="25">
        <f t="shared" si="72"/>
        <v>0</v>
      </c>
      <c r="P104" s="25"/>
      <c r="Q104" s="26">
        <f t="shared" si="73"/>
        <v>0</v>
      </c>
      <c r="R104" s="25"/>
      <c r="S104" s="27">
        <f t="shared" si="74"/>
        <v>0</v>
      </c>
    </row>
    <row r="105" spans="1:19">
      <c r="A105" s="28">
        <v>12</v>
      </c>
      <c r="B105" s="25"/>
      <c r="C105" s="25">
        <f t="shared" si="66"/>
        <v>0</v>
      </c>
      <c r="D105" s="25"/>
      <c r="E105" s="25">
        <f t="shared" si="67"/>
        <v>0</v>
      </c>
      <c r="F105" s="25"/>
      <c r="G105" s="25">
        <f t="shared" si="68"/>
        <v>0</v>
      </c>
      <c r="H105" s="25"/>
      <c r="I105" s="25">
        <f t="shared" si="69"/>
        <v>0</v>
      </c>
      <c r="J105" s="25"/>
      <c r="K105" s="25">
        <f t="shared" si="70"/>
        <v>0</v>
      </c>
      <c r="L105" s="25"/>
      <c r="M105" s="25">
        <f t="shared" si="71"/>
        <v>0</v>
      </c>
      <c r="N105" s="25"/>
      <c r="O105" s="25">
        <f t="shared" si="72"/>
        <v>0</v>
      </c>
      <c r="P105" s="25"/>
      <c r="Q105" s="26">
        <f t="shared" si="73"/>
        <v>0</v>
      </c>
      <c r="R105" s="25"/>
      <c r="S105" s="27">
        <f t="shared" si="74"/>
        <v>0</v>
      </c>
    </row>
    <row r="106" spans="1:19">
      <c r="A106" s="28">
        <v>13</v>
      </c>
      <c r="B106" s="25"/>
      <c r="C106" s="25">
        <f t="shared" si="66"/>
        <v>0</v>
      </c>
      <c r="D106" s="25"/>
      <c r="E106" s="25">
        <f t="shared" si="67"/>
        <v>0</v>
      </c>
      <c r="F106" s="25"/>
      <c r="G106" s="25">
        <f t="shared" si="68"/>
        <v>0</v>
      </c>
      <c r="H106" s="25"/>
      <c r="I106" s="25">
        <f t="shared" si="69"/>
        <v>0</v>
      </c>
      <c r="J106" s="25"/>
      <c r="K106" s="25">
        <f t="shared" si="70"/>
        <v>0</v>
      </c>
      <c r="L106" s="25"/>
      <c r="M106" s="25">
        <f t="shared" si="71"/>
        <v>0</v>
      </c>
      <c r="N106" s="25"/>
      <c r="O106" s="25">
        <f t="shared" si="72"/>
        <v>0</v>
      </c>
      <c r="P106" s="25"/>
      <c r="Q106" s="26">
        <f t="shared" si="73"/>
        <v>0</v>
      </c>
      <c r="R106" s="25"/>
      <c r="S106" s="27">
        <f t="shared" si="74"/>
        <v>0</v>
      </c>
    </row>
    <row r="107" spans="1:19">
      <c r="A107" s="28">
        <v>14</v>
      </c>
      <c r="B107" s="25"/>
      <c r="C107" s="25">
        <f t="shared" si="66"/>
        <v>0</v>
      </c>
      <c r="D107" s="25"/>
      <c r="E107" s="25">
        <f t="shared" si="67"/>
        <v>0</v>
      </c>
      <c r="F107" s="25"/>
      <c r="G107" s="25">
        <f t="shared" si="68"/>
        <v>0</v>
      </c>
      <c r="H107" s="25"/>
      <c r="I107" s="25">
        <f t="shared" si="69"/>
        <v>0</v>
      </c>
      <c r="J107" s="25"/>
      <c r="K107" s="25">
        <f t="shared" si="70"/>
        <v>0</v>
      </c>
      <c r="L107" s="25"/>
      <c r="M107" s="25">
        <f t="shared" si="71"/>
        <v>0</v>
      </c>
      <c r="N107" s="25"/>
      <c r="O107" s="25">
        <f t="shared" si="72"/>
        <v>0</v>
      </c>
      <c r="P107" s="25"/>
      <c r="Q107" s="26">
        <f t="shared" si="73"/>
        <v>0</v>
      </c>
      <c r="R107" s="25"/>
      <c r="S107" s="27">
        <f t="shared" si="74"/>
        <v>0</v>
      </c>
    </row>
    <row r="108" spans="1:19">
      <c r="A108" s="28">
        <v>15</v>
      </c>
      <c r="B108" s="25"/>
      <c r="C108" s="25">
        <f t="shared" si="66"/>
        <v>0</v>
      </c>
      <c r="D108" s="25"/>
      <c r="E108" s="25">
        <f t="shared" si="67"/>
        <v>0</v>
      </c>
      <c r="F108" s="25"/>
      <c r="G108" s="25">
        <f t="shared" si="68"/>
        <v>0</v>
      </c>
      <c r="H108" s="25"/>
      <c r="I108" s="25">
        <f t="shared" si="69"/>
        <v>0</v>
      </c>
      <c r="J108" s="25"/>
      <c r="K108" s="25">
        <f t="shared" si="70"/>
        <v>0</v>
      </c>
      <c r="L108" s="25"/>
      <c r="M108" s="25">
        <f t="shared" si="71"/>
        <v>0</v>
      </c>
      <c r="N108" s="25"/>
      <c r="O108" s="25">
        <f t="shared" si="72"/>
        <v>0</v>
      </c>
      <c r="P108" s="25"/>
      <c r="Q108" s="26">
        <f t="shared" si="73"/>
        <v>0</v>
      </c>
      <c r="R108" s="25"/>
      <c r="S108" s="27">
        <f t="shared" si="74"/>
        <v>0</v>
      </c>
    </row>
    <row r="109" spans="1:19">
      <c r="A109" s="28">
        <v>16</v>
      </c>
      <c r="B109" s="25"/>
      <c r="C109" s="25">
        <f t="shared" si="66"/>
        <v>0</v>
      </c>
      <c r="D109" s="25"/>
      <c r="E109" s="25">
        <f t="shared" si="67"/>
        <v>0</v>
      </c>
      <c r="F109" s="25"/>
      <c r="G109" s="25">
        <f t="shared" si="68"/>
        <v>0</v>
      </c>
      <c r="H109" s="25"/>
      <c r="I109" s="25">
        <f t="shared" si="69"/>
        <v>0</v>
      </c>
      <c r="J109" s="25"/>
      <c r="K109" s="25">
        <f t="shared" si="70"/>
        <v>0</v>
      </c>
      <c r="L109" s="25"/>
      <c r="M109" s="25">
        <f t="shared" si="71"/>
        <v>0</v>
      </c>
      <c r="N109" s="25"/>
      <c r="O109" s="25">
        <f t="shared" si="72"/>
        <v>0</v>
      </c>
      <c r="P109" s="25"/>
      <c r="Q109" s="26">
        <f t="shared" si="73"/>
        <v>0</v>
      </c>
      <c r="R109" s="25"/>
      <c r="S109" s="27">
        <f t="shared" si="74"/>
        <v>0</v>
      </c>
    </row>
    <row r="110" spans="1:19">
      <c r="A110" s="28">
        <v>17</v>
      </c>
      <c r="B110" s="25"/>
      <c r="C110" s="25">
        <f t="shared" si="66"/>
        <v>0</v>
      </c>
      <c r="D110" s="25"/>
      <c r="E110" s="25">
        <f t="shared" si="67"/>
        <v>0</v>
      </c>
      <c r="F110" s="25"/>
      <c r="G110" s="25">
        <f t="shared" si="68"/>
        <v>0</v>
      </c>
      <c r="H110" s="25"/>
      <c r="I110" s="25">
        <f t="shared" si="69"/>
        <v>0</v>
      </c>
      <c r="J110" s="25"/>
      <c r="K110" s="25">
        <f t="shared" si="70"/>
        <v>0</v>
      </c>
      <c r="L110" s="25"/>
      <c r="M110" s="25">
        <f t="shared" si="71"/>
        <v>0</v>
      </c>
      <c r="N110" s="25"/>
      <c r="O110" s="25">
        <f t="shared" si="72"/>
        <v>0</v>
      </c>
      <c r="P110" s="25"/>
      <c r="Q110" s="26">
        <f t="shared" si="73"/>
        <v>0</v>
      </c>
      <c r="R110" s="25"/>
      <c r="S110" s="27">
        <f t="shared" si="74"/>
        <v>0</v>
      </c>
    </row>
    <row r="111" spans="1:19">
      <c r="A111" s="28">
        <v>18</v>
      </c>
      <c r="B111" s="25"/>
      <c r="C111" s="25">
        <f t="shared" si="66"/>
        <v>0</v>
      </c>
      <c r="D111" s="25"/>
      <c r="E111" s="25">
        <f t="shared" si="67"/>
        <v>0</v>
      </c>
      <c r="F111" s="25"/>
      <c r="G111" s="25">
        <f t="shared" si="68"/>
        <v>0</v>
      </c>
      <c r="H111" s="25"/>
      <c r="I111" s="25">
        <f t="shared" si="69"/>
        <v>0</v>
      </c>
      <c r="J111" s="25"/>
      <c r="K111" s="25">
        <f t="shared" si="70"/>
        <v>0</v>
      </c>
      <c r="L111" s="25"/>
      <c r="M111" s="25">
        <f t="shared" si="71"/>
        <v>0</v>
      </c>
      <c r="N111" s="25"/>
      <c r="O111" s="25">
        <f t="shared" si="72"/>
        <v>0</v>
      </c>
      <c r="P111" s="25"/>
      <c r="Q111" s="26">
        <f t="shared" si="73"/>
        <v>0</v>
      </c>
      <c r="R111" s="25"/>
      <c r="S111" s="27">
        <f t="shared" si="74"/>
        <v>0</v>
      </c>
    </row>
    <row r="112" spans="1:19">
      <c r="A112" s="28">
        <v>19</v>
      </c>
      <c r="B112" s="25"/>
      <c r="C112" s="25">
        <f t="shared" si="66"/>
        <v>0</v>
      </c>
      <c r="D112" s="25"/>
      <c r="E112" s="25">
        <f t="shared" si="67"/>
        <v>0</v>
      </c>
      <c r="F112" s="25"/>
      <c r="G112" s="25">
        <f t="shared" si="68"/>
        <v>0</v>
      </c>
      <c r="H112" s="25"/>
      <c r="I112" s="25">
        <f t="shared" si="69"/>
        <v>0</v>
      </c>
      <c r="J112" s="25"/>
      <c r="K112" s="25">
        <f t="shared" si="70"/>
        <v>0</v>
      </c>
      <c r="L112" s="25"/>
      <c r="M112" s="25">
        <f t="shared" si="71"/>
        <v>0</v>
      </c>
      <c r="N112" s="25"/>
      <c r="O112" s="25">
        <f t="shared" si="72"/>
        <v>0</v>
      </c>
      <c r="P112" s="25"/>
      <c r="Q112" s="26">
        <f t="shared" si="73"/>
        <v>0</v>
      </c>
      <c r="R112" s="25"/>
      <c r="S112" s="27">
        <f t="shared" si="74"/>
        <v>0</v>
      </c>
    </row>
    <row r="113" spans="1:19">
      <c r="A113" s="28">
        <v>20</v>
      </c>
      <c r="B113" s="25"/>
      <c r="C113" s="25">
        <f t="shared" si="66"/>
        <v>0</v>
      </c>
      <c r="D113" s="25"/>
      <c r="E113" s="25">
        <f t="shared" si="67"/>
        <v>0</v>
      </c>
      <c r="F113" s="25"/>
      <c r="G113" s="25">
        <f t="shared" si="68"/>
        <v>0</v>
      </c>
      <c r="H113" s="25"/>
      <c r="I113" s="25">
        <f t="shared" si="69"/>
        <v>0</v>
      </c>
      <c r="J113" s="25"/>
      <c r="K113" s="25">
        <f t="shared" si="70"/>
        <v>0</v>
      </c>
      <c r="L113" s="25"/>
      <c r="M113" s="25">
        <f t="shared" si="71"/>
        <v>0</v>
      </c>
      <c r="N113" s="25"/>
      <c r="O113" s="25">
        <f t="shared" si="72"/>
        <v>0</v>
      </c>
      <c r="P113" s="25"/>
      <c r="Q113" s="26">
        <f t="shared" si="73"/>
        <v>0</v>
      </c>
      <c r="R113" s="25"/>
      <c r="S113" s="27">
        <f t="shared" si="74"/>
        <v>0</v>
      </c>
    </row>
    <row r="114" spans="1:19">
      <c r="A114" s="28">
        <v>21</v>
      </c>
      <c r="B114" s="25"/>
      <c r="C114" s="25">
        <f t="shared" si="66"/>
        <v>0</v>
      </c>
      <c r="D114" s="25"/>
      <c r="E114" s="25">
        <f t="shared" si="67"/>
        <v>0</v>
      </c>
      <c r="F114" s="25"/>
      <c r="G114" s="25">
        <f t="shared" si="68"/>
        <v>0</v>
      </c>
      <c r="H114" s="25"/>
      <c r="I114" s="25">
        <f t="shared" si="69"/>
        <v>0</v>
      </c>
      <c r="J114" s="25"/>
      <c r="K114" s="25">
        <f t="shared" si="70"/>
        <v>0</v>
      </c>
      <c r="L114" s="25"/>
      <c r="M114" s="25">
        <f t="shared" si="71"/>
        <v>0</v>
      </c>
      <c r="N114" s="25"/>
      <c r="O114" s="25">
        <f t="shared" si="72"/>
        <v>0</v>
      </c>
      <c r="P114" s="25"/>
      <c r="Q114" s="26">
        <f t="shared" si="73"/>
        <v>0</v>
      </c>
      <c r="R114" s="25"/>
      <c r="S114" s="27">
        <f t="shared" si="74"/>
        <v>0</v>
      </c>
    </row>
    <row r="115" spans="1:19">
      <c r="A115" s="28">
        <v>22</v>
      </c>
      <c r="B115" s="25"/>
      <c r="C115" s="25">
        <f t="shared" si="66"/>
        <v>0</v>
      </c>
      <c r="D115" s="25"/>
      <c r="E115" s="25">
        <f t="shared" si="67"/>
        <v>0</v>
      </c>
      <c r="F115" s="25"/>
      <c r="G115" s="25">
        <f t="shared" si="68"/>
        <v>0</v>
      </c>
      <c r="H115" s="25"/>
      <c r="I115" s="25">
        <f t="shared" si="69"/>
        <v>0</v>
      </c>
      <c r="J115" s="25"/>
      <c r="K115" s="25">
        <f t="shared" si="70"/>
        <v>0</v>
      </c>
      <c r="L115" s="25"/>
      <c r="M115" s="25">
        <f t="shared" si="71"/>
        <v>0</v>
      </c>
      <c r="N115" s="25"/>
      <c r="O115" s="25">
        <f t="shared" si="72"/>
        <v>0</v>
      </c>
      <c r="P115" s="25"/>
      <c r="Q115" s="26">
        <f t="shared" si="73"/>
        <v>0</v>
      </c>
      <c r="R115" s="25"/>
      <c r="S115" s="27">
        <f t="shared" si="74"/>
        <v>0</v>
      </c>
    </row>
    <row r="116" spans="1:19">
      <c r="A116" s="28">
        <v>23</v>
      </c>
      <c r="B116" s="25"/>
      <c r="C116" s="25">
        <f t="shared" si="66"/>
        <v>0</v>
      </c>
      <c r="D116" s="25"/>
      <c r="E116" s="25">
        <f t="shared" si="67"/>
        <v>0</v>
      </c>
      <c r="F116" s="25"/>
      <c r="G116" s="25">
        <f t="shared" si="68"/>
        <v>0</v>
      </c>
      <c r="H116" s="25"/>
      <c r="I116" s="25">
        <f t="shared" si="69"/>
        <v>0</v>
      </c>
      <c r="J116" s="25"/>
      <c r="K116" s="25">
        <f t="shared" si="70"/>
        <v>0</v>
      </c>
      <c r="L116" s="25"/>
      <c r="M116" s="25">
        <f t="shared" si="71"/>
        <v>0</v>
      </c>
      <c r="N116" s="25"/>
      <c r="O116" s="25">
        <f t="shared" si="72"/>
        <v>0</v>
      </c>
      <c r="P116" s="25"/>
      <c r="Q116" s="26">
        <f t="shared" si="73"/>
        <v>0</v>
      </c>
      <c r="R116" s="25"/>
      <c r="S116" s="27">
        <f t="shared" si="74"/>
        <v>0</v>
      </c>
    </row>
    <row r="117" spans="1:19">
      <c r="A117" s="28">
        <v>24</v>
      </c>
      <c r="B117" s="25"/>
      <c r="C117" s="25">
        <f t="shared" si="66"/>
        <v>0</v>
      </c>
      <c r="D117" s="25"/>
      <c r="E117" s="25">
        <f t="shared" si="67"/>
        <v>0</v>
      </c>
      <c r="F117" s="25"/>
      <c r="G117" s="25">
        <f t="shared" si="68"/>
        <v>0</v>
      </c>
      <c r="H117" s="25"/>
      <c r="I117" s="25">
        <f t="shared" si="69"/>
        <v>0</v>
      </c>
      <c r="J117" s="25"/>
      <c r="K117" s="25">
        <f t="shared" si="70"/>
        <v>0</v>
      </c>
      <c r="L117" s="25"/>
      <c r="M117" s="25">
        <f t="shared" si="71"/>
        <v>0</v>
      </c>
      <c r="N117" s="25"/>
      <c r="O117" s="25">
        <f t="shared" si="72"/>
        <v>0</v>
      </c>
      <c r="P117" s="25"/>
      <c r="Q117" s="26">
        <f t="shared" si="73"/>
        <v>0</v>
      </c>
      <c r="R117" s="25"/>
      <c r="S117" s="27">
        <f t="shared" si="74"/>
        <v>0</v>
      </c>
    </row>
    <row r="118" spans="1:19">
      <c r="A118" s="28">
        <v>25</v>
      </c>
      <c r="B118" s="25"/>
      <c r="C118" s="25">
        <f t="shared" si="66"/>
        <v>0</v>
      </c>
      <c r="D118" s="25"/>
      <c r="E118" s="25">
        <f t="shared" si="67"/>
        <v>0</v>
      </c>
      <c r="F118" s="25"/>
      <c r="G118" s="25">
        <f t="shared" si="68"/>
        <v>0</v>
      </c>
      <c r="H118" s="25"/>
      <c r="I118" s="25">
        <f t="shared" si="69"/>
        <v>0</v>
      </c>
      <c r="J118" s="25"/>
      <c r="K118" s="25">
        <f t="shared" si="70"/>
        <v>0</v>
      </c>
      <c r="L118" s="25"/>
      <c r="M118" s="25">
        <f t="shared" si="71"/>
        <v>0</v>
      </c>
      <c r="N118" s="25"/>
      <c r="O118" s="25">
        <f t="shared" si="72"/>
        <v>0</v>
      </c>
      <c r="P118" s="25"/>
      <c r="Q118" s="26">
        <f t="shared" si="73"/>
        <v>0</v>
      </c>
      <c r="R118" s="25"/>
      <c r="S118" s="27">
        <f t="shared" si="74"/>
        <v>0</v>
      </c>
    </row>
    <row r="119" spans="1:19">
      <c r="A119" s="28">
        <v>26</v>
      </c>
      <c r="B119" s="25"/>
      <c r="C119" s="25">
        <f t="shared" si="66"/>
        <v>0</v>
      </c>
      <c r="D119" s="25"/>
      <c r="E119" s="25">
        <f t="shared" si="67"/>
        <v>0</v>
      </c>
      <c r="F119" s="25"/>
      <c r="G119" s="25">
        <f t="shared" si="68"/>
        <v>0</v>
      </c>
      <c r="H119" s="25"/>
      <c r="I119" s="25">
        <f t="shared" si="69"/>
        <v>0</v>
      </c>
      <c r="J119" s="25"/>
      <c r="K119" s="25">
        <f t="shared" si="70"/>
        <v>0</v>
      </c>
      <c r="L119" s="25"/>
      <c r="M119" s="25">
        <f t="shared" si="71"/>
        <v>0</v>
      </c>
      <c r="N119" s="25"/>
      <c r="O119" s="25">
        <f t="shared" si="72"/>
        <v>0</v>
      </c>
      <c r="P119" s="25"/>
      <c r="Q119" s="26">
        <f t="shared" si="73"/>
        <v>0</v>
      </c>
      <c r="R119" s="25"/>
      <c r="S119" s="27">
        <f t="shared" si="74"/>
        <v>0</v>
      </c>
    </row>
    <row r="120" spans="1:19">
      <c r="A120" s="28">
        <v>27</v>
      </c>
      <c r="B120" s="25"/>
      <c r="C120" s="25">
        <f t="shared" si="66"/>
        <v>0</v>
      </c>
      <c r="D120" s="25"/>
      <c r="E120" s="25">
        <f t="shared" si="67"/>
        <v>0</v>
      </c>
      <c r="F120" s="25"/>
      <c r="G120" s="25">
        <f t="shared" si="68"/>
        <v>0</v>
      </c>
      <c r="H120" s="25"/>
      <c r="I120" s="25">
        <f t="shared" si="69"/>
        <v>0</v>
      </c>
      <c r="J120" s="25"/>
      <c r="K120" s="25">
        <f t="shared" si="70"/>
        <v>0</v>
      </c>
      <c r="L120" s="25"/>
      <c r="M120" s="25">
        <f t="shared" si="71"/>
        <v>0</v>
      </c>
      <c r="N120" s="25"/>
      <c r="O120" s="25">
        <f t="shared" si="72"/>
        <v>0</v>
      </c>
      <c r="P120" s="25"/>
      <c r="Q120" s="26">
        <f t="shared" si="73"/>
        <v>0</v>
      </c>
      <c r="R120" s="25"/>
      <c r="S120" s="27">
        <f t="shared" si="74"/>
        <v>0</v>
      </c>
    </row>
    <row r="121" spans="1:19">
      <c r="A121" s="28">
        <v>28</v>
      </c>
      <c r="B121" s="25"/>
      <c r="C121" s="25">
        <f t="shared" si="66"/>
        <v>0</v>
      </c>
      <c r="D121" s="25"/>
      <c r="E121" s="25">
        <f t="shared" si="67"/>
        <v>0</v>
      </c>
      <c r="F121" s="25"/>
      <c r="G121" s="25">
        <f t="shared" si="68"/>
        <v>0</v>
      </c>
      <c r="H121" s="25"/>
      <c r="I121" s="25">
        <f t="shared" si="69"/>
        <v>0</v>
      </c>
      <c r="J121" s="25"/>
      <c r="K121" s="25">
        <f t="shared" si="70"/>
        <v>0</v>
      </c>
      <c r="L121" s="25"/>
      <c r="M121" s="25">
        <f t="shared" si="71"/>
        <v>0</v>
      </c>
      <c r="N121" s="25"/>
      <c r="O121" s="25">
        <f t="shared" si="72"/>
        <v>0</v>
      </c>
      <c r="P121" s="25"/>
      <c r="Q121" s="26">
        <f t="shared" si="73"/>
        <v>0</v>
      </c>
      <c r="R121" s="25"/>
      <c r="S121" s="27">
        <f t="shared" si="74"/>
        <v>0</v>
      </c>
    </row>
    <row r="122" spans="1:19">
      <c r="A122" s="28">
        <v>29</v>
      </c>
      <c r="B122" s="25"/>
      <c r="C122" s="25">
        <f t="shared" si="66"/>
        <v>0</v>
      </c>
      <c r="D122" s="25"/>
      <c r="E122" s="25">
        <f t="shared" si="67"/>
        <v>0</v>
      </c>
      <c r="F122" s="25"/>
      <c r="G122" s="25">
        <f t="shared" si="68"/>
        <v>0</v>
      </c>
      <c r="H122" s="25"/>
      <c r="I122" s="25">
        <f t="shared" si="69"/>
        <v>0</v>
      </c>
      <c r="J122" s="25"/>
      <c r="K122" s="25">
        <f t="shared" si="70"/>
        <v>0</v>
      </c>
      <c r="L122" s="25"/>
      <c r="M122" s="25">
        <f t="shared" si="71"/>
        <v>0</v>
      </c>
      <c r="N122" s="25"/>
      <c r="O122" s="25">
        <f t="shared" si="72"/>
        <v>0</v>
      </c>
      <c r="P122" s="25"/>
      <c r="Q122" s="26">
        <f t="shared" si="73"/>
        <v>0</v>
      </c>
      <c r="R122" s="25"/>
      <c r="S122" s="27">
        <f t="shared" si="74"/>
        <v>0</v>
      </c>
    </row>
    <row r="123" spans="1:19">
      <c r="A123" s="28">
        <v>30</v>
      </c>
      <c r="B123" s="25"/>
      <c r="C123" s="25">
        <f t="shared" si="66"/>
        <v>0</v>
      </c>
      <c r="D123" s="25"/>
      <c r="E123" s="25">
        <f t="shared" si="67"/>
        <v>0</v>
      </c>
      <c r="F123" s="25"/>
      <c r="G123" s="25">
        <f t="shared" si="68"/>
        <v>0</v>
      </c>
      <c r="H123" s="25"/>
      <c r="I123" s="25">
        <f t="shared" si="69"/>
        <v>0</v>
      </c>
      <c r="J123" s="25"/>
      <c r="K123" s="25">
        <f t="shared" si="70"/>
        <v>0</v>
      </c>
      <c r="L123" s="25"/>
      <c r="M123" s="25">
        <f t="shared" si="71"/>
        <v>0</v>
      </c>
      <c r="N123" s="25"/>
      <c r="O123" s="25">
        <f t="shared" si="72"/>
        <v>0</v>
      </c>
      <c r="P123" s="25"/>
      <c r="Q123" s="26">
        <f t="shared" si="73"/>
        <v>0</v>
      </c>
      <c r="R123" s="25"/>
      <c r="S123" s="27">
        <f t="shared" si="74"/>
        <v>0</v>
      </c>
    </row>
    <row r="124" spans="1:19" ht="37.5" customHeight="1">
      <c r="A124" s="39"/>
      <c r="B124" s="29" t="s">
        <v>11</v>
      </c>
      <c r="C124" s="30">
        <f>SUM(C94:C123)</f>
        <v>500</v>
      </c>
      <c r="D124" s="29" t="s">
        <v>11</v>
      </c>
      <c r="E124" s="30">
        <f>SUM(E94:E123)</f>
        <v>640</v>
      </c>
      <c r="F124" s="29" t="s">
        <v>11</v>
      </c>
      <c r="G124" s="30">
        <f>SUM(G94:G123)</f>
        <v>4600</v>
      </c>
      <c r="H124" s="29" t="s">
        <v>11</v>
      </c>
      <c r="I124" s="30">
        <f>SUM(I94:I123)</f>
        <v>500</v>
      </c>
      <c r="J124" s="29" t="s">
        <v>11</v>
      </c>
      <c r="K124" s="30">
        <f>SUM(K94:K123)</f>
        <v>660</v>
      </c>
      <c r="L124" s="29" t="s">
        <v>11</v>
      </c>
      <c r="M124" s="30">
        <f>SUM(M94:M123)</f>
        <v>660</v>
      </c>
      <c r="N124" s="29" t="s">
        <v>11</v>
      </c>
      <c r="O124" s="30">
        <f>SUM(O94:O123)</f>
        <v>1360</v>
      </c>
      <c r="P124" s="29" t="s">
        <v>11</v>
      </c>
      <c r="Q124" s="30">
        <f>SUM(Q94:Q123)</f>
        <v>0</v>
      </c>
      <c r="R124" s="29" t="s">
        <v>11</v>
      </c>
      <c r="S124" s="27">
        <f>SUM(S94:S123)</f>
        <v>0</v>
      </c>
    </row>
    <row r="125" spans="1:19" ht="39.75" customHeight="1" thickBot="1">
      <c r="A125" s="40"/>
      <c r="B125" s="31" t="s">
        <v>14</v>
      </c>
      <c r="C125" s="30">
        <f>IF(C124=0,9,RANK(C124,$C$124:$S$124,0))</f>
        <v>6</v>
      </c>
      <c r="D125" s="31" t="s">
        <v>14</v>
      </c>
      <c r="E125" s="30">
        <f t="shared" ref="E125" si="75">IF(E124=0,9,RANK(E124,$C$124:$S$124,0))</f>
        <v>5</v>
      </c>
      <c r="F125" s="31" t="s">
        <v>14</v>
      </c>
      <c r="G125" s="30">
        <f t="shared" ref="G125" si="76">IF(G124=0,9,RANK(G124,$C$124:$S$124,0))</f>
        <v>1</v>
      </c>
      <c r="H125" s="31" t="s">
        <v>14</v>
      </c>
      <c r="I125" s="30">
        <f t="shared" ref="I125" si="77">IF(I124=0,9,RANK(I124,$C$124:$S$124,0))</f>
        <v>6</v>
      </c>
      <c r="J125" s="31" t="s">
        <v>14</v>
      </c>
      <c r="K125" s="30">
        <f t="shared" ref="K125" si="78">IF(K124=0,9,RANK(K124,$C$124:$S$124,0))</f>
        <v>3</v>
      </c>
      <c r="L125" s="31" t="s">
        <v>14</v>
      </c>
      <c r="M125" s="30">
        <f t="shared" ref="M125" si="79">IF(M124=0,9,RANK(M124,$C$124:$S$124,0))</f>
        <v>3</v>
      </c>
      <c r="N125" s="31" t="s">
        <v>14</v>
      </c>
      <c r="O125" s="30">
        <f t="shared" ref="O125" si="80">IF(O124=0,9,RANK(O124,$C$124:$S$124,0))</f>
        <v>2</v>
      </c>
      <c r="P125" s="31" t="s">
        <v>14</v>
      </c>
      <c r="Q125" s="30">
        <f t="shared" ref="Q125" si="81">IF(Q124=0,9,RANK(Q124,$C$124:$S$124,0))</f>
        <v>9</v>
      </c>
      <c r="R125" s="29" t="s">
        <v>14</v>
      </c>
      <c r="S125" s="27">
        <f t="shared" ref="S125" si="82">IF(S124=0,9,RANK(S124,$C$124:$S$124,0))</f>
        <v>9</v>
      </c>
    </row>
    <row r="126" spans="1:19">
      <c r="A126" s="32"/>
      <c r="B126" s="141" t="s">
        <v>29</v>
      </c>
      <c r="C126" s="137">
        <f>COUNT(B94:B123)</f>
        <v>1</v>
      </c>
      <c r="D126" s="141" t="s">
        <v>29</v>
      </c>
      <c r="E126" s="137">
        <f t="shared" ref="E126" si="83">COUNT(D94:D123)</f>
        <v>1</v>
      </c>
      <c r="F126" s="141" t="s">
        <v>29</v>
      </c>
      <c r="G126" s="137">
        <f t="shared" ref="G126" si="84">COUNT(F94:F123)</f>
        <v>7</v>
      </c>
      <c r="H126" s="141" t="s">
        <v>29</v>
      </c>
      <c r="I126" s="137">
        <f t="shared" ref="I126" si="85">COUNT(H94:H123)</f>
        <v>1</v>
      </c>
      <c r="J126" s="141" t="s">
        <v>29</v>
      </c>
      <c r="K126" s="137">
        <f t="shared" ref="K126" si="86">COUNT(J94:J123)</f>
        <v>1</v>
      </c>
      <c r="L126" s="141" t="s">
        <v>29</v>
      </c>
      <c r="M126" s="137">
        <f t="shared" ref="M126" si="87">COUNT(L94:L123)</f>
        <v>1</v>
      </c>
      <c r="N126" s="141" t="s">
        <v>29</v>
      </c>
      <c r="O126" s="137">
        <f t="shared" ref="O126" si="88">COUNT(N94:N123)</f>
        <v>2</v>
      </c>
      <c r="P126" s="141" t="s">
        <v>29</v>
      </c>
      <c r="Q126" s="148">
        <f t="shared" ref="Q126" si="89">COUNT(P94:P123)</f>
        <v>0</v>
      </c>
      <c r="R126" s="141" t="s">
        <v>29</v>
      </c>
      <c r="S126" s="138">
        <f t="shared" ref="S126" si="90">COUNT(R94:R123)</f>
        <v>0</v>
      </c>
    </row>
    <row r="127" spans="1:19">
      <c r="A127" s="32"/>
      <c r="B127" s="141"/>
      <c r="C127" s="137"/>
      <c r="D127" s="141"/>
      <c r="E127" s="137"/>
      <c r="F127" s="141"/>
      <c r="G127" s="137"/>
      <c r="H127" s="141"/>
      <c r="I127" s="137"/>
      <c r="J127" s="141"/>
      <c r="K127" s="137"/>
      <c r="L127" s="141"/>
      <c r="M127" s="137"/>
      <c r="N127" s="141"/>
      <c r="O127" s="137"/>
      <c r="P127" s="141"/>
      <c r="Q127" s="148"/>
      <c r="R127" s="141"/>
      <c r="S127" s="138"/>
    </row>
    <row r="128" spans="1:19">
      <c r="A128" s="32"/>
      <c r="B128" s="141"/>
      <c r="C128" s="137"/>
      <c r="D128" s="141"/>
      <c r="E128" s="137"/>
      <c r="F128" s="141"/>
      <c r="G128" s="137"/>
      <c r="H128" s="141"/>
      <c r="I128" s="137"/>
      <c r="J128" s="141"/>
      <c r="K128" s="137"/>
      <c r="L128" s="141"/>
      <c r="M128" s="137"/>
      <c r="N128" s="141"/>
      <c r="O128" s="137"/>
      <c r="P128" s="141"/>
      <c r="Q128" s="148"/>
      <c r="R128" s="141"/>
      <c r="S128" s="138"/>
    </row>
    <row r="129" spans="1:19" ht="45.75" customHeight="1" thickBot="1">
      <c r="A129" s="33"/>
      <c r="B129" s="34" t="s">
        <v>30</v>
      </c>
      <c r="C129" s="34">
        <f>MAX(B94:B123)</f>
        <v>20</v>
      </c>
      <c r="D129" s="34" t="s">
        <v>30</v>
      </c>
      <c r="E129" s="34">
        <f t="shared" ref="E129" si="91">MAX(D94:D123)</f>
        <v>27</v>
      </c>
      <c r="F129" s="34" t="s">
        <v>30</v>
      </c>
      <c r="G129" s="34">
        <f t="shared" ref="G129" si="92">MAX(F94:F123)</f>
        <v>35</v>
      </c>
      <c r="H129" s="34" t="s">
        <v>30</v>
      </c>
      <c r="I129" s="34">
        <f t="shared" ref="I129" si="93">MAX(H94:H123)</f>
        <v>20</v>
      </c>
      <c r="J129" s="34" t="s">
        <v>30</v>
      </c>
      <c r="K129" s="34">
        <f t="shared" ref="K129" si="94">MAX(J94:J123)</f>
        <v>28</v>
      </c>
      <c r="L129" s="34" t="s">
        <v>30</v>
      </c>
      <c r="M129" s="34">
        <f t="shared" ref="M129" si="95">MAX(L94:L123)</f>
        <v>28</v>
      </c>
      <c r="N129" s="34" t="s">
        <v>30</v>
      </c>
      <c r="O129" s="34">
        <f t="shared" ref="O129" si="96">MAX(N94:N123)</f>
        <v>31</v>
      </c>
      <c r="P129" s="34" t="s">
        <v>30</v>
      </c>
      <c r="Q129" s="72">
        <f t="shared" ref="Q129" si="97">MAX(P94:P123)</f>
        <v>0</v>
      </c>
      <c r="R129" s="34" t="s">
        <v>30</v>
      </c>
      <c r="S129" s="73">
        <f t="shared" ref="S129" si="98">MAX(R94:R123)</f>
        <v>0</v>
      </c>
    </row>
  </sheetData>
  <mergeCells count="114">
    <mergeCell ref="A47:A49"/>
    <mergeCell ref="B47:C47"/>
    <mergeCell ref="D47:E47"/>
    <mergeCell ref="F47:G47"/>
    <mergeCell ref="H47:I47"/>
    <mergeCell ref="Q38:Q40"/>
    <mergeCell ref="J4:K4"/>
    <mergeCell ref="L4:M4"/>
    <mergeCell ref="A3:A5"/>
    <mergeCell ref="B3:C3"/>
    <mergeCell ref="D3:E3"/>
    <mergeCell ref="F3:G3"/>
    <mergeCell ref="H3:I3"/>
    <mergeCell ref="J3:K3"/>
    <mergeCell ref="L3:M3"/>
    <mergeCell ref="N3:O3"/>
    <mergeCell ref="P3:Q3"/>
    <mergeCell ref="N4:O4"/>
    <mergeCell ref="P4:Q4"/>
    <mergeCell ref="B4:C4"/>
    <mergeCell ref="D4:E4"/>
    <mergeCell ref="F4:G4"/>
    <mergeCell ref="H4:I4"/>
    <mergeCell ref="L48:M48"/>
    <mergeCell ref="N48:O48"/>
    <mergeCell ref="P48:Q48"/>
    <mergeCell ref="B48:C48"/>
    <mergeCell ref="D48:E48"/>
    <mergeCell ref="F48:G48"/>
    <mergeCell ref="H48:I48"/>
    <mergeCell ref="J48:K48"/>
    <mergeCell ref="B38:B40"/>
    <mergeCell ref="C38:C40"/>
    <mergeCell ref="D38:D40"/>
    <mergeCell ref="E38:E40"/>
    <mergeCell ref="F38:F40"/>
    <mergeCell ref="G38:G40"/>
    <mergeCell ref="H38:H40"/>
    <mergeCell ref="I38:I40"/>
    <mergeCell ref="J38:J40"/>
    <mergeCell ref="K38:K40"/>
    <mergeCell ref="L38:L40"/>
    <mergeCell ref="F126:F128"/>
    <mergeCell ref="M82:M84"/>
    <mergeCell ref="N82:N84"/>
    <mergeCell ref="O82:O84"/>
    <mergeCell ref="L91:M91"/>
    <mergeCell ref="N91:O91"/>
    <mergeCell ref="P91:Q91"/>
    <mergeCell ref="B92:C92"/>
    <mergeCell ref="D92:E92"/>
    <mergeCell ref="F92:G92"/>
    <mergeCell ref="H92:I92"/>
    <mergeCell ref="J92:K92"/>
    <mergeCell ref="B82:B84"/>
    <mergeCell ref="C82:C84"/>
    <mergeCell ref="D82:D84"/>
    <mergeCell ref="E82:E84"/>
    <mergeCell ref="F82:F84"/>
    <mergeCell ref="P82:P84"/>
    <mergeCell ref="Q82:Q84"/>
    <mergeCell ref="G82:G84"/>
    <mergeCell ref="H82:H84"/>
    <mergeCell ref="I82:I84"/>
    <mergeCell ref="J82:J84"/>
    <mergeCell ref="K82:K84"/>
    <mergeCell ref="A1:S2"/>
    <mergeCell ref="R47:S47"/>
    <mergeCell ref="R48:S48"/>
    <mergeCell ref="R82:R84"/>
    <mergeCell ref="S82:S84"/>
    <mergeCell ref="A45:S46"/>
    <mergeCell ref="L92:M92"/>
    <mergeCell ref="N92:O92"/>
    <mergeCell ref="P92:Q92"/>
    <mergeCell ref="A91:A93"/>
    <mergeCell ref="B91:C91"/>
    <mergeCell ref="D91:E91"/>
    <mergeCell ref="F91:G91"/>
    <mergeCell ref="H91:I91"/>
    <mergeCell ref="J91:K91"/>
    <mergeCell ref="L82:L84"/>
    <mergeCell ref="J47:K47"/>
    <mergeCell ref="M38:M40"/>
    <mergeCell ref="N38:N40"/>
    <mergeCell ref="O38:O40"/>
    <mergeCell ref="L47:M47"/>
    <mergeCell ref="N47:O47"/>
    <mergeCell ref="P47:Q47"/>
    <mergeCell ref="P38:P40"/>
    <mergeCell ref="R91:S91"/>
    <mergeCell ref="R92:S92"/>
    <mergeCell ref="R126:R128"/>
    <mergeCell ref="S126:S128"/>
    <mergeCell ref="A89:S90"/>
    <mergeCell ref="R3:S3"/>
    <mergeCell ref="R4:S4"/>
    <mergeCell ref="R38:R40"/>
    <mergeCell ref="S38:S40"/>
    <mergeCell ref="M126:M128"/>
    <mergeCell ref="N126:N128"/>
    <mergeCell ref="O126:O128"/>
    <mergeCell ref="P126:P128"/>
    <mergeCell ref="Q126:Q128"/>
    <mergeCell ref="G126:G128"/>
    <mergeCell ref="H126:H128"/>
    <mergeCell ref="I126:I128"/>
    <mergeCell ref="J126:J128"/>
    <mergeCell ref="K126:K128"/>
    <mergeCell ref="L126:L128"/>
    <mergeCell ref="B126:B128"/>
    <mergeCell ref="C126:C128"/>
    <mergeCell ref="D126:D128"/>
    <mergeCell ref="E126:E128"/>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Q35"/>
  <sheetViews>
    <sheetView zoomScale="80" zoomScaleNormal="80" workbookViewId="0">
      <selection activeCell="U18" sqref="U18"/>
    </sheetView>
  </sheetViews>
  <sheetFormatPr defaultRowHeight="15"/>
  <cols>
    <col min="1" max="1" width="8" customWidth="1"/>
    <col min="5" max="5" width="6.140625" customWidth="1"/>
    <col min="9" max="9" width="11.7109375" customWidth="1"/>
    <col min="10" max="10" width="9.140625" customWidth="1"/>
    <col min="11" max="11" width="12.28515625" customWidth="1"/>
    <col min="13" max="13" width="11.42578125" customWidth="1"/>
    <col min="15" max="15" width="13" customWidth="1"/>
    <col min="16" max="16" width="16" customWidth="1"/>
    <col min="17" max="17" width="10.7109375" customWidth="1"/>
  </cols>
  <sheetData>
    <row r="1" spans="1:17" ht="15.75" thickBot="1"/>
    <row r="2" spans="1:17" ht="15" customHeight="1">
      <c r="A2" s="179" t="s">
        <v>39</v>
      </c>
      <c r="B2" s="180"/>
      <c r="C2" s="180"/>
      <c r="D2" s="180"/>
      <c r="E2" s="180"/>
      <c r="F2" s="180"/>
      <c r="G2" s="180"/>
      <c r="H2" s="180"/>
      <c r="I2" s="180"/>
      <c r="J2" s="180"/>
      <c r="K2" s="180"/>
      <c r="L2" s="180"/>
      <c r="M2" s="180"/>
      <c r="N2" s="180"/>
      <c r="O2" s="180"/>
      <c r="P2" s="180"/>
      <c r="Q2" s="181"/>
    </row>
    <row r="3" spans="1:17" ht="15" customHeight="1" thickBot="1">
      <c r="A3" s="182"/>
      <c r="B3" s="183"/>
      <c r="C3" s="183"/>
      <c r="D3" s="183"/>
      <c r="E3" s="183"/>
      <c r="F3" s="183"/>
      <c r="G3" s="183"/>
      <c r="H3" s="183"/>
      <c r="I3" s="183"/>
      <c r="J3" s="183"/>
      <c r="K3" s="183"/>
      <c r="L3" s="183"/>
      <c r="M3" s="183"/>
      <c r="N3" s="183"/>
      <c r="O3" s="183"/>
      <c r="P3" s="183"/>
      <c r="Q3" s="184"/>
    </row>
    <row r="4" spans="1:17" ht="21" customHeight="1">
      <c r="A4" s="188" t="s">
        <v>15</v>
      </c>
      <c r="B4" s="189" t="s">
        <v>24</v>
      </c>
      <c r="C4" s="189"/>
      <c r="D4" s="189"/>
      <c r="E4" s="189"/>
      <c r="F4" s="189" t="s">
        <v>4</v>
      </c>
      <c r="G4" s="189"/>
      <c r="H4" s="160"/>
      <c r="I4" s="173" t="s">
        <v>42</v>
      </c>
      <c r="J4" s="174"/>
      <c r="K4" s="173" t="s">
        <v>43</v>
      </c>
      <c r="L4" s="174"/>
      <c r="M4" s="173" t="s">
        <v>44</v>
      </c>
      <c r="N4" s="174"/>
      <c r="O4" s="175" t="s">
        <v>48</v>
      </c>
      <c r="P4" s="176"/>
      <c r="Q4" s="177" t="s">
        <v>25</v>
      </c>
    </row>
    <row r="5" spans="1:17" ht="15" customHeight="1">
      <c r="A5" s="152"/>
      <c r="B5" s="137"/>
      <c r="C5" s="137"/>
      <c r="D5" s="137"/>
      <c r="E5" s="137"/>
      <c r="F5" s="137"/>
      <c r="G5" s="137"/>
      <c r="H5" s="148"/>
      <c r="I5" s="152" t="s">
        <v>26</v>
      </c>
      <c r="J5" s="185" t="s">
        <v>41</v>
      </c>
      <c r="K5" s="152" t="s">
        <v>27</v>
      </c>
      <c r="L5" s="185" t="s">
        <v>41</v>
      </c>
      <c r="M5" s="152" t="s">
        <v>28</v>
      </c>
      <c r="N5" s="185" t="s">
        <v>41</v>
      </c>
      <c r="O5" s="186" t="s">
        <v>11</v>
      </c>
      <c r="P5" s="187" t="s">
        <v>40</v>
      </c>
      <c r="Q5" s="178"/>
    </row>
    <row r="6" spans="1:17" ht="32.25" customHeight="1">
      <c r="A6" s="152"/>
      <c r="B6" s="137"/>
      <c r="C6" s="137"/>
      <c r="D6" s="137"/>
      <c r="E6" s="137"/>
      <c r="F6" s="137"/>
      <c r="G6" s="137"/>
      <c r="H6" s="148"/>
      <c r="I6" s="152"/>
      <c r="J6" s="185"/>
      <c r="K6" s="152"/>
      <c r="L6" s="185"/>
      <c r="M6" s="152"/>
      <c r="N6" s="185"/>
      <c r="O6" s="186"/>
      <c r="P6" s="187"/>
      <c r="Q6" s="178"/>
    </row>
    <row r="7" spans="1:17" ht="20.100000000000001" customHeight="1">
      <c r="A7" s="43">
        <v>1</v>
      </c>
      <c r="B7" s="200" t="str">
        <f>TABELA!F10</f>
        <v>BOJAN GOVEDARICA</v>
      </c>
      <c r="C7" s="201"/>
      <c r="D7" s="201"/>
      <c r="E7" s="202"/>
      <c r="F7" s="199" t="str">
        <f>TABELA!B10</f>
        <v>SRK TARA - MOJKOVAC</v>
      </c>
      <c r="G7" s="197"/>
      <c r="H7" s="198"/>
      <c r="I7" s="44">
        <f>'GRUPA I'!C36</f>
        <v>1980</v>
      </c>
      <c r="J7" s="45">
        <f>'GRUPA I'!C37</f>
        <v>4</v>
      </c>
      <c r="K7" s="44">
        <f>'GRUPA I'!C81</f>
        <v>1860</v>
      </c>
      <c r="L7" s="45">
        <f>'GRUPA I'!C82</f>
        <v>3</v>
      </c>
      <c r="M7" s="44">
        <f>'GRUPA I'!C124</f>
        <v>1860</v>
      </c>
      <c r="N7" s="45">
        <f>'GRUPA I'!C125</f>
        <v>5</v>
      </c>
      <c r="O7" s="46">
        <f>(I7+K7+M7)</f>
        <v>5700</v>
      </c>
      <c r="P7" s="47">
        <f>(J7+L7+N7)</f>
        <v>12</v>
      </c>
      <c r="Q7" s="48">
        <f>RANK(P7,$P$7:$P$33,1)+COUNTIFS($P$7:$P$33,P7,$O$7:$O$33,"&gt;"&amp;O7)</f>
        <v>8</v>
      </c>
    </row>
    <row r="8" spans="1:17" ht="20.100000000000001" customHeight="1">
      <c r="A8" s="43">
        <v>2</v>
      </c>
      <c r="B8" s="200" t="str">
        <f>TABELA!F11</f>
        <v>VLATKO PEKOVIĆ</v>
      </c>
      <c r="C8" s="201"/>
      <c r="D8" s="201"/>
      <c r="E8" s="202"/>
      <c r="F8" s="199" t="str">
        <f>TABELA!B11</f>
        <v>SRK GORŠTAK - KOLAŠIN</v>
      </c>
      <c r="G8" s="197"/>
      <c r="H8" s="198"/>
      <c r="I8" s="44">
        <f>'GRUPA I'!E36</f>
        <v>2340</v>
      </c>
      <c r="J8" s="45">
        <f>'GRUPA I'!E37</f>
        <v>2</v>
      </c>
      <c r="K8" s="44">
        <f>'GRUPA I'!E81</f>
        <v>3400</v>
      </c>
      <c r="L8" s="45">
        <f>'GRUPA I'!E82</f>
        <v>1</v>
      </c>
      <c r="M8" s="44">
        <f>'GRUPA I'!E124</f>
        <v>1260</v>
      </c>
      <c r="N8" s="45">
        <f>'GRUPA I'!E125</f>
        <v>8</v>
      </c>
      <c r="O8" s="46">
        <f t="shared" ref="O8:O32" si="0">(I8+K8+M8)</f>
        <v>7000</v>
      </c>
      <c r="P8" s="47">
        <f t="shared" ref="P8:P32" si="1">(J8+L8+N8)</f>
        <v>11</v>
      </c>
      <c r="Q8" s="48">
        <f t="shared" ref="Q8:Q33" si="2">RANK(P8,$P$7:$P$33,1)+COUNTIFS($P$7:$P$33,P8,$O$7:$O$33,"&gt;"&amp;O8)</f>
        <v>6</v>
      </c>
    </row>
    <row r="9" spans="1:17" ht="20.100000000000001" customHeight="1">
      <c r="A9" s="43">
        <v>3</v>
      </c>
      <c r="B9" s="200" t="str">
        <f>TABELA!F12</f>
        <v>BOŠKO VULEVIĆ</v>
      </c>
      <c r="C9" s="201"/>
      <c r="D9" s="201"/>
      <c r="E9" s="202"/>
      <c r="F9" s="199" t="str">
        <f>TABELA!B12</f>
        <v>SRK LIM - BERANE</v>
      </c>
      <c r="G9" s="197"/>
      <c r="H9" s="198"/>
      <c r="I9" s="44">
        <f>'GRUPA I'!G36</f>
        <v>2200</v>
      </c>
      <c r="J9" s="45">
        <f>'GRUPA I'!G37</f>
        <v>3</v>
      </c>
      <c r="K9" s="44">
        <f>'GRUPA I'!G81</f>
        <v>660</v>
      </c>
      <c r="L9" s="45">
        <f>'GRUPA I'!G82</f>
        <v>6</v>
      </c>
      <c r="M9" s="44">
        <f>'GRUPA I'!G124</f>
        <v>1980</v>
      </c>
      <c r="N9" s="45">
        <f>'GRUPA I'!G125</f>
        <v>3</v>
      </c>
      <c r="O9" s="46">
        <f t="shared" si="0"/>
        <v>4840</v>
      </c>
      <c r="P9" s="47">
        <f t="shared" si="1"/>
        <v>12</v>
      </c>
      <c r="Q9" s="48">
        <f t="shared" si="2"/>
        <v>9</v>
      </c>
    </row>
    <row r="10" spans="1:17" ht="20.100000000000001" customHeight="1">
      <c r="A10" s="43">
        <v>4</v>
      </c>
      <c r="B10" s="200" t="str">
        <f>TABELA!F13</f>
        <v>ORHAN BAŠIĆ</v>
      </c>
      <c r="C10" s="201"/>
      <c r="D10" s="201"/>
      <c r="E10" s="202"/>
      <c r="F10" s="199" t="str">
        <f>TABELA!B13</f>
        <v>SRK PLAVSKO JEZERO</v>
      </c>
      <c r="G10" s="197"/>
      <c r="H10" s="198"/>
      <c r="I10" s="44">
        <f>'GRUPA I'!I36</f>
        <v>0</v>
      </c>
      <c r="J10" s="45">
        <f>'GRUPA I'!I37</f>
        <v>9</v>
      </c>
      <c r="K10" s="44">
        <f>'GRUPA I'!I81</f>
        <v>0</v>
      </c>
      <c r="L10" s="45">
        <f>'GRUPA I'!I82</f>
        <v>9</v>
      </c>
      <c r="M10" s="44">
        <f>'GRUPA I'!I124</f>
        <v>0</v>
      </c>
      <c r="N10" s="45">
        <f>'GRUPA I'!I125</f>
        <v>9</v>
      </c>
      <c r="O10" s="46">
        <f t="shared" si="0"/>
        <v>0</v>
      </c>
      <c r="P10" s="47">
        <f t="shared" si="1"/>
        <v>27</v>
      </c>
      <c r="Q10" s="48">
        <f t="shared" si="2"/>
        <v>27</v>
      </c>
    </row>
    <row r="11" spans="1:17" ht="20.100000000000001" customHeight="1">
      <c r="A11" s="43">
        <v>5</v>
      </c>
      <c r="B11" s="200" t="str">
        <f>TABELA!F14</f>
        <v>MILAN FUŠTIĆ</v>
      </c>
      <c r="C11" s="201"/>
      <c r="D11" s="201"/>
      <c r="E11" s="202"/>
      <c r="F11" s="199" t="str">
        <f>TABELA!B14</f>
        <v>SRFFK RAVNJAK - MOJKOVAC</v>
      </c>
      <c r="G11" s="197"/>
      <c r="H11" s="198"/>
      <c r="I11" s="44">
        <f>'GRUPA I'!K36</f>
        <v>2500</v>
      </c>
      <c r="J11" s="45">
        <f>'GRUPA I'!K37</f>
        <v>1</v>
      </c>
      <c r="K11" s="44">
        <f>'GRUPA I'!K81</f>
        <v>660</v>
      </c>
      <c r="L11" s="45">
        <f>'GRUPA I'!K82</f>
        <v>6</v>
      </c>
      <c r="M11" s="44">
        <f>'GRUPA I'!K124</f>
        <v>1360</v>
      </c>
      <c r="N11" s="45">
        <f>'GRUPA I'!K125</f>
        <v>7</v>
      </c>
      <c r="O11" s="46">
        <f t="shared" si="0"/>
        <v>4520</v>
      </c>
      <c r="P11" s="47">
        <f t="shared" si="1"/>
        <v>14</v>
      </c>
      <c r="Q11" s="48">
        <f t="shared" si="2"/>
        <v>13</v>
      </c>
    </row>
    <row r="12" spans="1:17" ht="20.100000000000001" customHeight="1">
      <c r="A12" s="43">
        <v>6</v>
      </c>
      <c r="B12" s="200" t="str">
        <f>TABELA!F15</f>
        <v>RADOVAN KRKOVIĆ</v>
      </c>
      <c r="C12" s="201"/>
      <c r="D12" s="201"/>
      <c r="E12" s="202"/>
      <c r="F12" s="199" t="str">
        <f>TABELA!B15</f>
        <v>SRFFK MANIRO - KOLAŠIN</v>
      </c>
      <c r="G12" s="197"/>
      <c r="H12" s="198"/>
      <c r="I12" s="44">
        <f>'GRUPA I'!M36</f>
        <v>1240</v>
      </c>
      <c r="J12" s="45">
        <f>'GRUPA I'!M37</f>
        <v>5</v>
      </c>
      <c r="K12" s="44">
        <f>'GRUPA I'!M81</f>
        <v>1980</v>
      </c>
      <c r="L12" s="45">
        <f>'GRUPA I'!M82</f>
        <v>2</v>
      </c>
      <c r="M12" s="44">
        <f>'GRUPA I'!M124</f>
        <v>4780</v>
      </c>
      <c r="N12" s="45">
        <f>'GRUPA I'!M125</f>
        <v>1</v>
      </c>
      <c r="O12" s="46">
        <f t="shared" si="0"/>
        <v>8000</v>
      </c>
      <c r="P12" s="47">
        <f t="shared" si="1"/>
        <v>8</v>
      </c>
      <c r="Q12" s="48">
        <f t="shared" si="2"/>
        <v>4</v>
      </c>
    </row>
    <row r="13" spans="1:17" ht="20.100000000000001" customHeight="1">
      <c r="A13" s="43">
        <v>7</v>
      </c>
      <c r="B13" s="200" t="str">
        <f>TABELA!F16</f>
        <v>NIKOLA ĐALOVIĆ</v>
      </c>
      <c r="C13" s="201"/>
      <c r="D13" s="201"/>
      <c r="E13" s="202"/>
      <c r="F13" s="199" t="str">
        <f>TABELA!B16</f>
        <v>SRK VODENE LISICE - PODGORICA</v>
      </c>
      <c r="G13" s="197"/>
      <c r="H13" s="198"/>
      <c r="I13" s="44">
        <f>'GRUPA I'!O36</f>
        <v>1140</v>
      </c>
      <c r="J13" s="45">
        <f>'GRUPA I'!O37</f>
        <v>6</v>
      </c>
      <c r="K13" s="44">
        <f>'GRUPA I'!O81</f>
        <v>0</v>
      </c>
      <c r="L13" s="45">
        <f>'GRUPA I'!O82</f>
        <v>9</v>
      </c>
      <c r="M13" s="44">
        <f>'GRUPA I'!O124</f>
        <v>1960</v>
      </c>
      <c r="N13" s="45">
        <f>'GRUPA I'!O125</f>
        <v>4</v>
      </c>
      <c r="O13" s="46">
        <f t="shared" si="0"/>
        <v>3100</v>
      </c>
      <c r="P13" s="47">
        <f t="shared" si="1"/>
        <v>19</v>
      </c>
      <c r="Q13" s="48">
        <f t="shared" si="2"/>
        <v>20</v>
      </c>
    </row>
    <row r="14" spans="1:17" ht="20.100000000000001" customHeight="1">
      <c r="A14" s="43">
        <v>8</v>
      </c>
      <c r="B14" s="200" t="str">
        <f>TABELA!F17</f>
        <v>KEMAL AJANOVIĆ</v>
      </c>
      <c r="C14" s="201"/>
      <c r="D14" s="201"/>
      <c r="E14" s="202"/>
      <c r="F14" s="199" t="str">
        <f>TABELA!B17</f>
        <v>SRK LIPLJEN - PLJEVLJA</v>
      </c>
      <c r="G14" s="197"/>
      <c r="H14" s="198"/>
      <c r="I14" s="44">
        <f>'GRUPA I'!Q36</f>
        <v>520</v>
      </c>
      <c r="J14" s="45">
        <f>'GRUPA I'!Q37</f>
        <v>7</v>
      </c>
      <c r="K14" s="44">
        <f>'GRUPA I'!Q81</f>
        <v>1340</v>
      </c>
      <c r="L14" s="45">
        <f>'GRUPA I'!Q82</f>
        <v>4</v>
      </c>
      <c r="M14" s="44">
        <f>'GRUPA I'!Q124</f>
        <v>1700</v>
      </c>
      <c r="N14" s="45">
        <f>'GRUPA I'!Q125</f>
        <v>6</v>
      </c>
      <c r="O14" s="46">
        <f t="shared" si="0"/>
        <v>3560</v>
      </c>
      <c r="P14" s="47">
        <f t="shared" si="1"/>
        <v>17</v>
      </c>
      <c r="Q14" s="48">
        <f t="shared" si="2"/>
        <v>18</v>
      </c>
    </row>
    <row r="15" spans="1:17" ht="20.100000000000001" customHeight="1">
      <c r="A15" s="43">
        <v>9</v>
      </c>
      <c r="B15" s="200" t="str">
        <f>TABELA!F18</f>
        <v>NIKOLA POPOVIĆ</v>
      </c>
      <c r="C15" s="201"/>
      <c r="D15" s="201"/>
      <c r="E15" s="202"/>
      <c r="F15" s="199" t="str">
        <f>TABELA!B18</f>
        <v>SRK KOLAŠIN</v>
      </c>
      <c r="G15" s="197"/>
      <c r="H15" s="198"/>
      <c r="I15" s="44">
        <f>'GRUPA I'!S36</f>
        <v>0</v>
      </c>
      <c r="J15" s="45">
        <f>'GRUPA I'!S37</f>
        <v>9</v>
      </c>
      <c r="K15" s="44">
        <f>'GRUPA I'!S81</f>
        <v>680</v>
      </c>
      <c r="L15" s="45">
        <f>'GRUPA I'!S82</f>
        <v>5</v>
      </c>
      <c r="M15" s="44">
        <f>'GRUPA I'!S124</f>
        <v>2420</v>
      </c>
      <c r="N15" s="45">
        <f>'GRUPA I'!S125</f>
        <v>2</v>
      </c>
      <c r="O15" s="46">
        <f t="shared" ref="O15" si="3">(I15+K15+M15)</f>
        <v>3100</v>
      </c>
      <c r="P15" s="47">
        <f t="shared" ref="P15" si="4">(J15+L15+N15)</f>
        <v>16</v>
      </c>
      <c r="Q15" s="48">
        <f t="shared" si="2"/>
        <v>17</v>
      </c>
    </row>
    <row r="16" spans="1:17" ht="20.100000000000001" customHeight="1">
      <c r="A16" s="43">
        <v>10</v>
      </c>
      <c r="B16" s="200" t="str">
        <f>TABELA!H10</f>
        <v>BOGDAN GOVEDARICA</v>
      </c>
      <c r="C16" s="201"/>
      <c r="D16" s="201"/>
      <c r="E16" s="202"/>
      <c r="F16" s="199" t="str">
        <f>TABELA!B10</f>
        <v>SRK TARA - MOJKOVAC</v>
      </c>
      <c r="G16" s="197"/>
      <c r="H16" s="198"/>
      <c r="I16" s="44">
        <f>'GRUPA II'!C36</f>
        <v>0</v>
      </c>
      <c r="J16" s="45">
        <f>'GRUPA II'!C37</f>
        <v>9</v>
      </c>
      <c r="K16" s="44">
        <f>'GRUPA II'!C80</f>
        <v>1780</v>
      </c>
      <c r="L16" s="45">
        <f>'GRUPA II'!C81</f>
        <v>5</v>
      </c>
      <c r="M16" s="44">
        <f>'GRUPA II'!C124</f>
        <v>0</v>
      </c>
      <c r="N16" s="45">
        <f>'GRUPA II'!C126</f>
        <v>9</v>
      </c>
      <c r="O16" s="46">
        <f t="shared" si="0"/>
        <v>1780</v>
      </c>
      <c r="P16" s="47">
        <f t="shared" si="1"/>
        <v>23</v>
      </c>
      <c r="Q16" s="48">
        <f t="shared" si="2"/>
        <v>24</v>
      </c>
    </row>
    <row r="17" spans="1:17" ht="20.100000000000001" customHeight="1">
      <c r="A17" s="43">
        <v>11</v>
      </c>
      <c r="B17" s="200" t="str">
        <f>TABELA!H11</f>
        <v>MILJAN ANĐIĆ</v>
      </c>
      <c r="C17" s="201"/>
      <c r="D17" s="201"/>
      <c r="E17" s="202"/>
      <c r="F17" s="199" t="str">
        <f>TABELA!B11</f>
        <v>SRK GORŠTAK - KOLAŠIN</v>
      </c>
      <c r="G17" s="197"/>
      <c r="H17" s="198"/>
      <c r="I17" s="44">
        <f>'GRUPA II'!E36</f>
        <v>0</v>
      </c>
      <c r="J17" s="45">
        <f>'GRUPA II'!E37</f>
        <v>9</v>
      </c>
      <c r="K17" s="44">
        <f>'GRUPA II'!E80</f>
        <v>520</v>
      </c>
      <c r="L17" s="45">
        <f>'GRUPA II'!E81</f>
        <v>9</v>
      </c>
      <c r="M17" s="44">
        <f>'GRUPA II'!E124</f>
        <v>0</v>
      </c>
      <c r="N17" s="45">
        <f>'GRUPA II'!E126</f>
        <v>9</v>
      </c>
      <c r="O17" s="46">
        <f t="shared" si="0"/>
        <v>520</v>
      </c>
      <c r="P17" s="47">
        <f t="shared" si="1"/>
        <v>27</v>
      </c>
      <c r="Q17" s="48">
        <f t="shared" si="2"/>
        <v>26</v>
      </c>
    </row>
    <row r="18" spans="1:17" ht="20.100000000000001" customHeight="1">
      <c r="A18" s="43">
        <v>12</v>
      </c>
      <c r="B18" s="200" t="str">
        <f>TABELA!H12</f>
        <v>RADULE MIĆOVIĆ</v>
      </c>
      <c r="C18" s="201"/>
      <c r="D18" s="201"/>
      <c r="E18" s="202"/>
      <c r="F18" s="199" t="str">
        <f>TABELA!B12</f>
        <v>SRK LIM - BERANE</v>
      </c>
      <c r="G18" s="197"/>
      <c r="H18" s="198"/>
      <c r="I18" s="44">
        <f>'GRUPA II'!G36</f>
        <v>3280</v>
      </c>
      <c r="J18" s="45">
        <f>'GRUPA II'!G37</f>
        <v>1</v>
      </c>
      <c r="K18" s="44">
        <f>'GRUPA II'!G80</f>
        <v>1900</v>
      </c>
      <c r="L18" s="45">
        <f>'GRUPA II'!G81</f>
        <v>4</v>
      </c>
      <c r="M18" s="44">
        <f>'GRUPA II'!G124</f>
        <v>2040</v>
      </c>
      <c r="N18" s="45">
        <f>'GRUPA II'!G126</f>
        <v>1</v>
      </c>
      <c r="O18" s="46">
        <f t="shared" si="0"/>
        <v>7220</v>
      </c>
      <c r="P18" s="47">
        <f t="shared" si="1"/>
        <v>6</v>
      </c>
      <c r="Q18" s="48">
        <f t="shared" si="2"/>
        <v>1</v>
      </c>
    </row>
    <row r="19" spans="1:17" ht="20.100000000000001" customHeight="1">
      <c r="A19" s="43">
        <v>13</v>
      </c>
      <c r="B19" s="200" t="str">
        <f>TABELA!H13</f>
        <v>OMAR BAŠIĆ</v>
      </c>
      <c r="C19" s="201"/>
      <c r="D19" s="201"/>
      <c r="E19" s="202"/>
      <c r="F19" s="199" t="str">
        <f>TABELA!B13</f>
        <v>SRK PLAVSKO JEZERO</v>
      </c>
      <c r="G19" s="197"/>
      <c r="H19" s="198"/>
      <c r="I19" s="44">
        <f>'GRUPA II'!I36</f>
        <v>720</v>
      </c>
      <c r="J19" s="45">
        <f>'GRUPA II'!I37</f>
        <v>3</v>
      </c>
      <c r="K19" s="44">
        <f>'GRUPA II'!I80</f>
        <v>1340</v>
      </c>
      <c r="L19" s="45">
        <f>'GRUPA II'!I81</f>
        <v>7</v>
      </c>
      <c r="M19" s="44">
        <f>'GRUPA II'!I124</f>
        <v>0</v>
      </c>
      <c r="N19" s="45">
        <f>'GRUPA II'!I126</f>
        <v>9</v>
      </c>
      <c r="O19" s="46">
        <f t="shared" si="0"/>
        <v>2060</v>
      </c>
      <c r="P19" s="47">
        <f t="shared" si="1"/>
        <v>19</v>
      </c>
      <c r="Q19" s="48">
        <f t="shared" si="2"/>
        <v>21</v>
      </c>
    </row>
    <row r="20" spans="1:17" ht="20.100000000000001" customHeight="1">
      <c r="A20" s="43">
        <v>14</v>
      </c>
      <c r="B20" s="200" t="str">
        <f>TABELA!H14</f>
        <v>BALŠA FUŠTIĆ</v>
      </c>
      <c r="C20" s="201"/>
      <c r="D20" s="201"/>
      <c r="E20" s="202"/>
      <c r="F20" s="199" t="str">
        <f>TABELA!B14</f>
        <v>SRFFK RAVNJAK - MOJKOVAC</v>
      </c>
      <c r="G20" s="197"/>
      <c r="H20" s="198"/>
      <c r="I20" s="44">
        <f>'GRUPA II'!K36</f>
        <v>640</v>
      </c>
      <c r="J20" s="45">
        <f>'GRUPA II'!K37</f>
        <v>5</v>
      </c>
      <c r="K20" s="44">
        <f>'GRUPA II'!K80</f>
        <v>2200</v>
      </c>
      <c r="L20" s="45">
        <f>'GRUPA II'!K81</f>
        <v>3</v>
      </c>
      <c r="M20" s="44">
        <f>'GRUPA II'!K124</f>
        <v>700</v>
      </c>
      <c r="N20" s="45">
        <f>'GRUPA II'!K126</f>
        <v>3</v>
      </c>
      <c r="O20" s="46">
        <f t="shared" si="0"/>
        <v>3540</v>
      </c>
      <c r="P20" s="47">
        <f t="shared" si="1"/>
        <v>11</v>
      </c>
      <c r="Q20" s="48">
        <f t="shared" si="2"/>
        <v>7</v>
      </c>
    </row>
    <row r="21" spans="1:17" ht="20.100000000000001" customHeight="1">
      <c r="A21" s="43">
        <v>15</v>
      </c>
      <c r="B21" s="200" t="str">
        <f>TABELA!H15</f>
        <v>GORAN OBRENOVIĆ</v>
      </c>
      <c r="C21" s="201"/>
      <c r="D21" s="201"/>
      <c r="E21" s="202"/>
      <c r="F21" s="199" t="str">
        <f>TABELA!B15</f>
        <v>SRFFK MANIRO - KOLAŠIN</v>
      </c>
      <c r="G21" s="197"/>
      <c r="H21" s="198"/>
      <c r="I21" s="44">
        <f>'GRUPA II'!M36</f>
        <v>520</v>
      </c>
      <c r="J21" s="45">
        <f>'GRUPA II'!M37</f>
        <v>7</v>
      </c>
      <c r="K21" s="44">
        <f>'GRUPA II'!M80</f>
        <v>1440</v>
      </c>
      <c r="L21" s="45">
        <f>'GRUPA II'!M81</f>
        <v>6</v>
      </c>
      <c r="M21" s="44">
        <f>'GRUPA II'!M124</f>
        <v>1200</v>
      </c>
      <c r="N21" s="45">
        <f>'GRUPA II'!M126</f>
        <v>2</v>
      </c>
      <c r="O21" s="46">
        <f t="shared" si="0"/>
        <v>3160</v>
      </c>
      <c r="P21" s="47">
        <f t="shared" si="1"/>
        <v>15</v>
      </c>
      <c r="Q21" s="48">
        <f t="shared" si="2"/>
        <v>15</v>
      </c>
    </row>
    <row r="22" spans="1:17" ht="20.100000000000001" customHeight="1">
      <c r="A22" s="43">
        <v>16</v>
      </c>
      <c r="B22" s="200" t="str">
        <f>TABELA!H16</f>
        <v>PETAR OBRADOVIĆ</v>
      </c>
      <c r="C22" s="201"/>
      <c r="D22" s="201"/>
      <c r="E22" s="202"/>
      <c r="F22" s="199" t="str">
        <f>TABELA!B16</f>
        <v>SRK VODENE LISICE - PODGORICA</v>
      </c>
      <c r="G22" s="197"/>
      <c r="H22" s="198"/>
      <c r="I22" s="44">
        <f>'GRUPA II'!O36</f>
        <v>540</v>
      </c>
      <c r="J22" s="45">
        <f>'GRUPA II'!O37</f>
        <v>6</v>
      </c>
      <c r="K22" s="44">
        <f>'GRUPA II'!O80</f>
        <v>3520</v>
      </c>
      <c r="L22" s="45">
        <f>'GRUPA II'!O81</f>
        <v>1</v>
      </c>
      <c r="M22" s="44">
        <f>'GRUPA II'!O124</f>
        <v>0</v>
      </c>
      <c r="N22" s="45">
        <f>'GRUPA II'!O126</f>
        <v>9</v>
      </c>
      <c r="O22" s="46">
        <f t="shared" si="0"/>
        <v>4060</v>
      </c>
      <c r="P22" s="47">
        <f t="shared" si="1"/>
        <v>16</v>
      </c>
      <c r="Q22" s="48">
        <f t="shared" si="2"/>
        <v>16</v>
      </c>
    </row>
    <row r="23" spans="1:17" ht="20.100000000000001" customHeight="1">
      <c r="A23" s="43">
        <v>17</v>
      </c>
      <c r="B23" s="200" t="str">
        <f>TABELA!H17</f>
        <v>MEHMED DŽIDIĆ</v>
      </c>
      <c r="C23" s="201"/>
      <c r="D23" s="201"/>
      <c r="E23" s="202"/>
      <c r="F23" s="199" t="str">
        <f>TABELA!B17</f>
        <v>SRK LIPLJEN - PLJEVLJA</v>
      </c>
      <c r="G23" s="197"/>
      <c r="H23" s="198"/>
      <c r="I23" s="44">
        <f>'GRUPA II'!Q36</f>
        <v>720</v>
      </c>
      <c r="J23" s="45">
        <f>'GRUPA II'!Q37</f>
        <v>3</v>
      </c>
      <c r="K23" s="44">
        <f>'GRUPA II'!Q80</f>
        <v>2540</v>
      </c>
      <c r="L23" s="45">
        <f>'GRUPA II'!Q81</f>
        <v>2</v>
      </c>
      <c r="M23" s="44">
        <f>'GRUPA II'!Q124</f>
        <v>660</v>
      </c>
      <c r="N23" s="45">
        <f>'GRUPA II'!Q126</f>
        <v>5</v>
      </c>
      <c r="O23" s="46">
        <f t="shared" si="0"/>
        <v>3920</v>
      </c>
      <c r="P23" s="47">
        <f t="shared" si="1"/>
        <v>10</v>
      </c>
      <c r="Q23" s="48">
        <f t="shared" si="2"/>
        <v>5</v>
      </c>
    </row>
    <row r="24" spans="1:17" ht="20.100000000000001" customHeight="1">
      <c r="A24" s="43">
        <v>18</v>
      </c>
      <c r="B24" s="200" t="str">
        <f>TABELA!H18</f>
        <v>ARSO JEREMIĆ</v>
      </c>
      <c r="C24" s="201"/>
      <c r="D24" s="201"/>
      <c r="E24" s="202"/>
      <c r="F24" s="199" t="str">
        <f>TABELA!B18</f>
        <v>SRK KOLAŠIN</v>
      </c>
      <c r="G24" s="197"/>
      <c r="H24" s="198"/>
      <c r="I24" s="44">
        <f>'GRUPA II'!S36</f>
        <v>2480</v>
      </c>
      <c r="J24" s="45">
        <f>'GRUPA II'!S37</f>
        <v>2</v>
      </c>
      <c r="K24" s="44">
        <f>'GRUPA II'!S80</f>
        <v>760</v>
      </c>
      <c r="L24" s="45">
        <f>'GRUPA II'!S81</f>
        <v>8</v>
      </c>
      <c r="M24" s="44">
        <f>'GRUPA II'!S124</f>
        <v>700</v>
      </c>
      <c r="N24" s="45">
        <f>'GRUPA II'!S126</f>
        <v>3</v>
      </c>
      <c r="O24" s="46">
        <f t="shared" ref="O24" si="5">(I24+K24+M24)</f>
        <v>3940</v>
      </c>
      <c r="P24" s="47">
        <f t="shared" ref="P24" si="6">(J24+L24+N24)</f>
        <v>13</v>
      </c>
      <c r="Q24" s="48">
        <f t="shared" si="2"/>
        <v>10</v>
      </c>
    </row>
    <row r="25" spans="1:17" ht="20.100000000000001" customHeight="1">
      <c r="A25" s="43">
        <v>19</v>
      </c>
      <c r="B25" s="200" t="str">
        <f>TABELA!K10</f>
        <v>SAVO RAIČEVIĆ</v>
      </c>
      <c r="C25" s="201"/>
      <c r="D25" s="201"/>
      <c r="E25" s="202"/>
      <c r="F25" s="199" t="str">
        <f>TABELA!B10</f>
        <v>SRK TARA - MOJKOVAC</v>
      </c>
      <c r="G25" s="197"/>
      <c r="H25" s="198"/>
      <c r="I25" s="44">
        <f>'GRUPA III'!C36</f>
        <v>0</v>
      </c>
      <c r="J25" s="45">
        <f>'GRUPA III'!C37</f>
        <v>9</v>
      </c>
      <c r="K25" s="44">
        <f>'GRUPA III'!C80</f>
        <v>960</v>
      </c>
      <c r="L25" s="45">
        <f>'GRUPA III'!C81</f>
        <v>5</v>
      </c>
      <c r="M25" s="44">
        <f>'GRUPA III'!C124</f>
        <v>500</v>
      </c>
      <c r="N25" s="45">
        <f>'GRUPA III'!C125</f>
        <v>6</v>
      </c>
      <c r="O25" s="46">
        <f t="shared" si="0"/>
        <v>1460</v>
      </c>
      <c r="P25" s="47">
        <f t="shared" si="1"/>
        <v>20</v>
      </c>
      <c r="Q25" s="48">
        <f t="shared" si="2"/>
        <v>22</v>
      </c>
    </row>
    <row r="26" spans="1:17" ht="20.100000000000001" customHeight="1">
      <c r="A26" s="43">
        <v>20</v>
      </c>
      <c r="B26" s="200" t="str">
        <f>TABELA!K11</f>
        <v>NIKOLA TREBJEŠANIN</v>
      </c>
      <c r="C26" s="201"/>
      <c r="D26" s="201"/>
      <c r="E26" s="202"/>
      <c r="F26" s="199" t="str">
        <f>TABELA!B11</f>
        <v>SRK GORŠTAK - KOLAŠIN</v>
      </c>
      <c r="G26" s="197"/>
      <c r="H26" s="198"/>
      <c r="I26" s="44">
        <f>'GRUPA III'!E36</f>
        <v>640</v>
      </c>
      <c r="J26" s="45">
        <f>'GRUPA III'!E37</f>
        <v>4</v>
      </c>
      <c r="K26" s="44">
        <f>'GRUPA III'!E80</f>
        <v>600</v>
      </c>
      <c r="L26" s="45">
        <f>'GRUPA III'!E81</f>
        <v>8</v>
      </c>
      <c r="M26" s="44">
        <f>'GRUPA III'!E124</f>
        <v>640</v>
      </c>
      <c r="N26" s="45">
        <f>'GRUPA III'!E125</f>
        <v>5</v>
      </c>
      <c r="O26" s="46">
        <f t="shared" si="0"/>
        <v>1880</v>
      </c>
      <c r="P26" s="47">
        <f t="shared" si="1"/>
        <v>17</v>
      </c>
      <c r="Q26" s="48">
        <f t="shared" si="2"/>
        <v>19</v>
      </c>
    </row>
    <row r="27" spans="1:17" ht="20.100000000000001" customHeight="1">
      <c r="A27" s="43">
        <v>21</v>
      </c>
      <c r="B27" s="200" t="str">
        <f>TABELA!K12</f>
        <v>MILUN ĐUROVIĆ</v>
      </c>
      <c r="C27" s="201"/>
      <c r="D27" s="201"/>
      <c r="E27" s="202"/>
      <c r="F27" s="199" t="str">
        <f>TABELA!B12</f>
        <v>SRK LIM - BERANE</v>
      </c>
      <c r="G27" s="197"/>
      <c r="H27" s="198"/>
      <c r="I27" s="44">
        <f>'GRUPA III'!G36</f>
        <v>580</v>
      </c>
      <c r="J27" s="45">
        <f>'GRUPA III'!G37</f>
        <v>5</v>
      </c>
      <c r="K27" s="44">
        <f>'GRUPA III'!G80</f>
        <v>3460</v>
      </c>
      <c r="L27" s="45">
        <f>'GRUPA III'!G81</f>
        <v>1</v>
      </c>
      <c r="M27" s="44">
        <f>'GRUPA III'!G124</f>
        <v>4600</v>
      </c>
      <c r="N27" s="45">
        <f>'GRUPA III'!G125</f>
        <v>1</v>
      </c>
      <c r="O27" s="46">
        <f t="shared" si="0"/>
        <v>8640</v>
      </c>
      <c r="P27" s="47">
        <f t="shared" si="1"/>
        <v>7</v>
      </c>
      <c r="Q27" s="48">
        <f t="shared" si="2"/>
        <v>2</v>
      </c>
    </row>
    <row r="28" spans="1:17" ht="20.100000000000001" customHeight="1">
      <c r="A28" s="43">
        <v>22</v>
      </c>
      <c r="B28" s="200" t="str">
        <f>TABELA!K13</f>
        <v>DAMIR CANOVIĆ</v>
      </c>
      <c r="C28" s="201"/>
      <c r="D28" s="201"/>
      <c r="E28" s="202"/>
      <c r="F28" s="199" t="str">
        <f>TABELA!B13</f>
        <v>SRK PLAVSKO JEZERO</v>
      </c>
      <c r="G28" s="197"/>
      <c r="H28" s="198"/>
      <c r="I28" s="44">
        <f>'GRUPA III'!I36</f>
        <v>520</v>
      </c>
      <c r="J28" s="45">
        <f>'GRUPA III'!I37</f>
        <v>6</v>
      </c>
      <c r="K28" s="44">
        <f>'GRUPA III'!I80</f>
        <v>560</v>
      </c>
      <c r="L28" s="45">
        <f>'GRUPA III'!I81</f>
        <v>9</v>
      </c>
      <c r="M28" s="44">
        <f>'GRUPA III'!I124</f>
        <v>500</v>
      </c>
      <c r="N28" s="45">
        <f>'GRUPA III'!I125</f>
        <v>6</v>
      </c>
      <c r="O28" s="46">
        <f t="shared" si="0"/>
        <v>1580</v>
      </c>
      <c r="P28" s="47">
        <f t="shared" si="1"/>
        <v>21</v>
      </c>
      <c r="Q28" s="48">
        <f t="shared" si="2"/>
        <v>23</v>
      </c>
    </row>
    <row r="29" spans="1:17" ht="20.100000000000001" customHeight="1">
      <c r="A29" s="43">
        <v>23</v>
      </c>
      <c r="B29" s="200" t="str">
        <f>TABELA!K14</f>
        <v>ALEKSANDAR GAŠEVIĆ</v>
      </c>
      <c r="C29" s="201"/>
      <c r="D29" s="201"/>
      <c r="E29" s="202"/>
      <c r="F29" s="199" t="str">
        <f>TABELA!B14</f>
        <v>SRFFK RAVNJAK - MOJKOVAC</v>
      </c>
      <c r="G29" s="197"/>
      <c r="H29" s="198"/>
      <c r="I29" s="44">
        <f>'GRUPA III'!K36</f>
        <v>5040</v>
      </c>
      <c r="J29" s="45">
        <f>'GRUPA III'!K37</f>
        <v>1</v>
      </c>
      <c r="K29" s="44">
        <f>'GRUPA III'!K80</f>
        <v>2360</v>
      </c>
      <c r="L29" s="45">
        <f>'GRUPA III'!K81</f>
        <v>3</v>
      </c>
      <c r="M29" s="44">
        <f>'GRUPA III'!K124</f>
        <v>660</v>
      </c>
      <c r="N29" s="45">
        <f>'GRUPA III'!K125</f>
        <v>3</v>
      </c>
      <c r="O29" s="46">
        <f t="shared" si="0"/>
        <v>8060</v>
      </c>
      <c r="P29" s="47">
        <f t="shared" si="1"/>
        <v>7</v>
      </c>
      <c r="Q29" s="48">
        <f t="shared" si="2"/>
        <v>3</v>
      </c>
    </row>
    <row r="30" spans="1:17" ht="20.100000000000001" customHeight="1">
      <c r="A30" s="43">
        <v>24</v>
      </c>
      <c r="B30" s="200" t="str">
        <f>TABELA!K15</f>
        <v>BOGDAN MARKOVIĆ</v>
      </c>
      <c r="C30" s="201"/>
      <c r="D30" s="201"/>
      <c r="E30" s="202"/>
      <c r="F30" s="199" t="str">
        <f>TABELA!B15</f>
        <v>SRFFK MANIRO - KOLAŠIN</v>
      </c>
      <c r="G30" s="197"/>
      <c r="H30" s="198"/>
      <c r="I30" s="44">
        <f>'GRUPA III'!M36</f>
        <v>1800</v>
      </c>
      <c r="J30" s="45">
        <f>'GRUPA III'!M37</f>
        <v>3</v>
      </c>
      <c r="K30" s="44">
        <f>'GRUPA III'!M80</f>
        <v>640</v>
      </c>
      <c r="L30" s="45">
        <f>'GRUPA III'!M81</f>
        <v>7</v>
      </c>
      <c r="M30" s="44">
        <f>'GRUPA III'!M124</f>
        <v>660</v>
      </c>
      <c r="N30" s="45">
        <f>'GRUPA III'!M125</f>
        <v>3</v>
      </c>
      <c r="O30" s="46">
        <f t="shared" si="0"/>
        <v>3100</v>
      </c>
      <c r="P30" s="47">
        <f t="shared" si="1"/>
        <v>13</v>
      </c>
      <c r="Q30" s="48">
        <f t="shared" si="2"/>
        <v>12</v>
      </c>
    </row>
    <row r="31" spans="1:17" ht="20.100000000000001" customHeight="1">
      <c r="A31" s="43">
        <v>25</v>
      </c>
      <c r="B31" s="200" t="str">
        <f>TABELA!K16</f>
        <v>MARKO BAKIĆ</v>
      </c>
      <c r="C31" s="201"/>
      <c r="D31" s="201"/>
      <c r="E31" s="202"/>
      <c r="F31" s="199" t="str">
        <f>TABELA!B16</f>
        <v>SRK VODENE LISICE - PODGORICA</v>
      </c>
      <c r="G31" s="197"/>
      <c r="H31" s="198"/>
      <c r="I31" s="44">
        <f>'GRUPA III'!O36</f>
        <v>0</v>
      </c>
      <c r="J31" s="45">
        <f>'GRUPA III'!O37</f>
        <v>9</v>
      </c>
      <c r="K31" s="44">
        <f>'GRUPA III'!O80</f>
        <v>2580</v>
      </c>
      <c r="L31" s="45">
        <f>'GRUPA III'!O81</f>
        <v>2</v>
      </c>
      <c r="M31" s="44">
        <f>'GRUPA III'!O124</f>
        <v>1360</v>
      </c>
      <c r="N31" s="45">
        <f>'GRUPA III'!O125</f>
        <v>2</v>
      </c>
      <c r="O31" s="46">
        <f t="shared" si="0"/>
        <v>3940</v>
      </c>
      <c r="P31" s="47">
        <f t="shared" si="1"/>
        <v>13</v>
      </c>
      <c r="Q31" s="48">
        <f t="shared" si="2"/>
        <v>10</v>
      </c>
    </row>
    <row r="32" spans="1:17" ht="20.100000000000001" customHeight="1">
      <c r="A32" s="49">
        <v>26</v>
      </c>
      <c r="B32" s="200" t="str">
        <f>TABELA!K17</f>
        <v>MUMIN HEKALO</v>
      </c>
      <c r="C32" s="201"/>
      <c r="D32" s="201"/>
      <c r="E32" s="202"/>
      <c r="F32" s="196" t="str">
        <f>TABELA!B17</f>
        <v>SRK LIPLJEN - PLJEVLJA</v>
      </c>
      <c r="G32" s="197"/>
      <c r="H32" s="198"/>
      <c r="I32" s="44">
        <f>'GRUPA III'!Q36</f>
        <v>0</v>
      </c>
      <c r="J32" s="45">
        <f>'GRUPA III'!Q37</f>
        <v>9</v>
      </c>
      <c r="K32" s="44">
        <f>'GRUPA III'!Q80</f>
        <v>780</v>
      </c>
      <c r="L32" s="45">
        <f>'GRUPA III'!Q81</f>
        <v>6</v>
      </c>
      <c r="M32" s="44">
        <f>'GRUPA III'!Q124</f>
        <v>0</v>
      </c>
      <c r="N32" s="45">
        <f>'GRUPA III'!Q125</f>
        <v>9</v>
      </c>
      <c r="O32" s="46">
        <f t="shared" si="0"/>
        <v>780</v>
      </c>
      <c r="P32" s="47">
        <f t="shared" si="1"/>
        <v>24</v>
      </c>
      <c r="Q32" s="48">
        <f t="shared" si="2"/>
        <v>25</v>
      </c>
    </row>
    <row r="33" spans="1:17" ht="19.5" thickBot="1">
      <c r="A33" s="50">
        <v>27</v>
      </c>
      <c r="B33" s="190" t="str">
        <f>TABELA!K18</f>
        <v>IVICA RAJKOVIĆ</v>
      </c>
      <c r="C33" s="191"/>
      <c r="D33" s="191"/>
      <c r="E33" s="192"/>
      <c r="F33" s="193" t="str">
        <f>TABELA!B18</f>
        <v>SRK KOLAŠIN</v>
      </c>
      <c r="G33" s="194"/>
      <c r="H33" s="195"/>
      <c r="I33" s="51">
        <f>'GRUPA III'!S36</f>
        <v>3500</v>
      </c>
      <c r="J33" s="52">
        <f>'GRUPA III'!S37</f>
        <v>2</v>
      </c>
      <c r="K33" s="51">
        <f>'GRUPA III'!S80</f>
        <v>1440</v>
      </c>
      <c r="L33" s="52">
        <f>'GRUPA III'!S81</f>
        <v>4</v>
      </c>
      <c r="M33" s="51">
        <f>'GRUPA III'!S124</f>
        <v>0</v>
      </c>
      <c r="N33" s="52">
        <f>'GRUPA III'!S125</f>
        <v>9</v>
      </c>
      <c r="O33" s="53">
        <f t="shared" ref="O33" si="7">(I33+K33+M33)</f>
        <v>4940</v>
      </c>
      <c r="P33" s="54">
        <f t="shared" ref="P33" si="8">(J33+L33+N33)</f>
        <v>15</v>
      </c>
      <c r="Q33" s="48">
        <f t="shared" si="2"/>
        <v>14</v>
      </c>
    </row>
    <row r="34" spans="1:17">
      <c r="I34" s="203"/>
      <c r="J34" s="203"/>
    </row>
    <row r="35" spans="1:17">
      <c r="I35" s="203"/>
      <c r="J35" s="203"/>
    </row>
  </sheetData>
  <dataConsolidate/>
  <mergeCells count="72">
    <mergeCell ref="I34:J35"/>
    <mergeCell ref="B16:E16"/>
    <mergeCell ref="B7:E7"/>
    <mergeCell ref="F7:H7"/>
    <mergeCell ref="B8:E8"/>
    <mergeCell ref="B9:E9"/>
    <mergeCell ref="B10:E10"/>
    <mergeCell ref="B11:E11"/>
    <mergeCell ref="B12:E12"/>
    <mergeCell ref="B13:E13"/>
    <mergeCell ref="B14:E14"/>
    <mergeCell ref="B18:E18"/>
    <mergeCell ref="B19:E19"/>
    <mergeCell ref="B20:E20"/>
    <mergeCell ref="B21:E21"/>
    <mergeCell ref="B22:E22"/>
    <mergeCell ref="F13:H13"/>
    <mergeCell ref="B23:E23"/>
    <mergeCell ref="B25:E25"/>
    <mergeCell ref="B26:E26"/>
    <mergeCell ref="B27:E27"/>
    <mergeCell ref="B17:E17"/>
    <mergeCell ref="B15:E15"/>
    <mergeCell ref="F15:H15"/>
    <mergeCell ref="B24:E24"/>
    <mergeCell ref="F24:H24"/>
    <mergeCell ref="F8:H8"/>
    <mergeCell ref="F9:H9"/>
    <mergeCell ref="F10:H10"/>
    <mergeCell ref="F11:H11"/>
    <mergeCell ref="F12:H12"/>
    <mergeCell ref="I4:J4"/>
    <mergeCell ref="F28:H28"/>
    <mergeCell ref="F29:H29"/>
    <mergeCell ref="F30:H30"/>
    <mergeCell ref="F31:H31"/>
    <mergeCell ref="F27:H27"/>
    <mergeCell ref="F14:H14"/>
    <mergeCell ref="F16:H16"/>
    <mergeCell ref="F17:H17"/>
    <mergeCell ref="F18:H18"/>
    <mergeCell ref="F19:H19"/>
    <mergeCell ref="F20:H20"/>
    <mergeCell ref="F21:H21"/>
    <mergeCell ref="F22:H22"/>
    <mergeCell ref="F23:H23"/>
    <mergeCell ref="F25:H25"/>
    <mergeCell ref="B33:E33"/>
    <mergeCell ref="F33:H33"/>
    <mergeCell ref="F32:H32"/>
    <mergeCell ref="F26:H26"/>
    <mergeCell ref="B30:E30"/>
    <mergeCell ref="B31:E31"/>
    <mergeCell ref="B32:E32"/>
    <mergeCell ref="B28:E28"/>
    <mergeCell ref="B29:E29"/>
    <mergeCell ref="K4:L4"/>
    <mergeCell ref="M4:N4"/>
    <mergeCell ref="O4:P4"/>
    <mergeCell ref="Q4:Q6"/>
    <mergeCell ref="A2:Q3"/>
    <mergeCell ref="M5:M6"/>
    <mergeCell ref="N5:N6"/>
    <mergeCell ref="O5:O6"/>
    <mergeCell ref="P5:P6"/>
    <mergeCell ref="I5:I6"/>
    <mergeCell ref="J5:J6"/>
    <mergeCell ref="K5:K6"/>
    <mergeCell ref="L5:L6"/>
    <mergeCell ref="A4:A6"/>
    <mergeCell ref="B4:E6"/>
    <mergeCell ref="F4:H6"/>
  </mergeCells>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dimension ref="A1:K18"/>
  <sheetViews>
    <sheetView zoomScale="80" zoomScaleNormal="80" workbookViewId="0">
      <selection activeCell="E18" sqref="E18"/>
    </sheetView>
  </sheetViews>
  <sheetFormatPr defaultRowHeight="15"/>
  <cols>
    <col min="2" max="2" width="26.140625" customWidth="1"/>
    <col min="3" max="3" width="18.28515625" customWidth="1"/>
    <col min="4" max="5" width="19" customWidth="1"/>
    <col min="6" max="7" width="18.42578125" customWidth="1"/>
    <col min="8" max="9" width="19.42578125" customWidth="1"/>
    <col min="10" max="10" width="12.28515625" customWidth="1"/>
    <col min="11" max="11" width="15.7109375" customWidth="1"/>
  </cols>
  <sheetData>
    <row r="1" spans="1:11" ht="15.75" thickBot="1"/>
    <row r="2" spans="1:11" ht="35.25" customHeight="1">
      <c r="A2" s="204" t="s">
        <v>38</v>
      </c>
      <c r="B2" s="205"/>
      <c r="C2" s="205"/>
      <c r="D2" s="205"/>
      <c r="E2" s="205"/>
      <c r="F2" s="205"/>
      <c r="G2" s="205"/>
      <c r="H2" s="205"/>
      <c r="I2" s="205"/>
      <c r="J2" s="205"/>
      <c r="K2" s="206"/>
    </row>
    <row r="3" spans="1:11" ht="74.25" customHeight="1">
      <c r="A3" s="55" t="s">
        <v>15</v>
      </c>
      <c r="B3" s="56" t="s">
        <v>31</v>
      </c>
      <c r="C3" s="57" t="s">
        <v>35</v>
      </c>
      <c r="D3" s="57" t="s">
        <v>32</v>
      </c>
      <c r="E3" s="57" t="s">
        <v>36</v>
      </c>
      <c r="F3" s="57" t="s">
        <v>33</v>
      </c>
      <c r="G3" s="57" t="s">
        <v>37</v>
      </c>
      <c r="H3" s="57" t="s">
        <v>34</v>
      </c>
      <c r="I3" s="58" t="s">
        <v>11</v>
      </c>
      <c r="J3" s="59" t="s">
        <v>40</v>
      </c>
      <c r="K3" s="60" t="s">
        <v>25</v>
      </c>
    </row>
    <row r="4" spans="1:11" ht="20.100000000000001" customHeight="1">
      <c r="A4" s="28">
        <v>1</v>
      </c>
      <c r="B4" s="61" t="str">
        <f>TABELA!B10</f>
        <v>SRK TARA - MOJKOVAC</v>
      </c>
      <c r="C4" s="25">
        <f>POJEDINACNO!O7</f>
        <v>5700</v>
      </c>
      <c r="D4" s="25">
        <f>POJEDINACNO!P7</f>
        <v>12</v>
      </c>
      <c r="E4" s="25">
        <f>POJEDINACNO!O16</f>
        <v>1780</v>
      </c>
      <c r="F4" s="25">
        <f>POJEDINACNO!P16</f>
        <v>23</v>
      </c>
      <c r="G4" s="25">
        <f>POJEDINACNO!O25</f>
        <v>1460</v>
      </c>
      <c r="H4" s="25">
        <f>POJEDINACNO!P25</f>
        <v>20</v>
      </c>
      <c r="I4" s="26">
        <f>(C4+E4+G4)</f>
        <v>8940</v>
      </c>
      <c r="J4" s="25">
        <f>(D4+F4+H4)</f>
        <v>55</v>
      </c>
      <c r="K4" s="62">
        <f>RANK(J4,$J$4:$J$12,1)+COUNTIFS($J$4:$J$12,J4,$I$4:$I$12,"&gt;"&amp;I4)</f>
        <v>8</v>
      </c>
    </row>
    <row r="5" spans="1:11" ht="20.100000000000001" customHeight="1">
      <c r="A5" s="28">
        <v>2</v>
      </c>
      <c r="B5" s="61" t="str">
        <f>TABELA!B11</f>
        <v>SRK GORŠTAK - KOLAŠIN</v>
      </c>
      <c r="C5" s="25">
        <f>POJEDINACNO!O8</f>
        <v>7000</v>
      </c>
      <c r="D5" s="25">
        <f>POJEDINACNO!P8</f>
        <v>11</v>
      </c>
      <c r="E5" s="25">
        <f>POJEDINACNO!O17</f>
        <v>520</v>
      </c>
      <c r="F5" s="25">
        <f>POJEDINACNO!P17</f>
        <v>27</v>
      </c>
      <c r="G5" s="25">
        <f>POJEDINACNO!O26</f>
        <v>1880</v>
      </c>
      <c r="H5" s="25">
        <f>POJEDINACNO!P26</f>
        <v>17</v>
      </c>
      <c r="I5" s="26">
        <f t="shared" ref="I5:I11" si="0">(C5+E5+G5)</f>
        <v>9400</v>
      </c>
      <c r="J5" s="25">
        <f t="shared" ref="J5:J11" si="1">(D5+F5+H5)</f>
        <v>55</v>
      </c>
      <c r="K5" s="62">
        <f t="shared" ref="K5:K12" si="2">RANK(J5,$J$4:$J$12,1)+COUNTIFS($J$4:$J$12,J5,$I$4:$I$12,"&gt;"&amp;I5)</f>
        <v>7</v>
      </c>
    </row>
    <row r="6" spans="1:11" ht="20.100000000000001" customHeight="1">
      <c r="A6" s="28">
        <v>3</v>
      </c>
      <c r="B6" s="61" t="str">
        <f>TABELA!B12</f>
        <v>SRK LIM - BERANE</v>
      </c>
      <c r="C6" s="25">
        <f>POJEDINACNO!O9</f>
        <v>4840</v>
      </c>
      <c r="D6" s="25">
        <f>POJEDINACNO!P9</f>
        <v>12</v>
      </c>
      <c r="E6" s="25">
        <f>POJEDINACNO!O18</f>
        <v>7220</v>
      </c>
      <c r="F6" s="25">
        <f>POJEDINACNO!P18</f>
        <v>6</v>
      </c>
      <c r="G6" s="25">
        <f>POJEDINACNO!O27</f>
        <v>8640</v>
      </c>
      <c r="H6" s="25">
        <f>POJEDINACNO!P27</f>
        <v>7</v>
      </c>
      <c r="I6" s="26">
        <f t="shared" si="0"/>
        <v>20700</v>
      </c>
      <c r="J6" s="25">
        <f t="shared" si="1"/>
        <v>25</v>
      </c>
      <c r="K6" s="62">
        <f t="shared" si="2"/>
        <v>1</v>
      </c>
    </row>
    <row r="7" spans="1:11" ht="20.100000000000001" customHeight="1">
      <c r="A7" s="28">
        <v>4</v>
      </c>
      <c r="B7" s="61" t="str">
        <f>TABELA!B13</f>
        <v>SRK PLAVSKO JEZERO</v>
      </c>
      <c r="C7" s="25">
        <f>POJEDINACNO!O10</f>
        <v>0</v>
      </c>
      <c r="D7" s="25">
        <f>POJEDINACNO!P10</f>
        <v>27</v>
      </c>
      <c r="E7" s="25">
        <f>POJEDINACNO!O19</f>
        <v>2060</v>
      </c>
      <c r="F7" s="25">
        <f>POJEDINACNO!P19</f>
        <v>19</v>
      </c>
      <c r="G7" s="25">
        <f>POJEDINACNO!O28</f>
        <v>1580</v>
      </c>
      <c r="H7" s="25">
        <f>POJEDINACNO!P28</f>
        <v>21</v>
      </c>
      <c r="I7" s="26">
        <f t="shared" si="0"/>
        <v>3640</v>
      </c>
      <c r="J7" s="25">
        <f t="shared" si="1"/>
        <v>67</v>
      </c>
      <c r="K7" s="62">
        <f t="shared" si="2"/>
        <v>9</v>
      </c>
    </row>
    <row r="8" spans="1:11" ht="20.100000000000001" customHeight="1">
      <c r="A8" s="28">
        <v>5</v>
      </c>
      <c r="B8" s="61" t="str">
        <f>TABELA!B14</f>
        <v>SRFFK RAVNJAK - MOJKOVAC</v>
      </c>
      <c r="C8" s="25">
        <f>POJEDINACNO!O11</f>
        <v>4520</v>
      </c>
      <c r="D8" s="25">
        <f>POJEDINACNO!P11</f>
        <v>14</v>
      </c>
      <c r="E8" s="25">
        <f>POJEDINACNO!O20</f>
        <v>3540</v>
      </c>
      <c r="F8" s="25">
        <f>POJEDINACNO!P20</f>
        <v>11</v>
      </c>
      <c r="G8" s="25">
        <f>POJEDINACNO!O29</f>
        <v>8060</v>
      </c>
      <c r="H8" s="25">
        <f>POJEDINACNO!P29</f>
        <v>7</v>
      </c>
      <c r="I8" s="26">
        <f t="shared" si="0"/>
        <v>16120</v>
      </c>
      <c r="J8" s="25">
        <f t="shared" si="1"/>
        <v>32</v>
      </c>
      <c r="K8" s="62">
        <f t="shared" si="2"/>
        <v>2</v>
      </c>
    </row>
    <row r="9" spans="1:11" ht="20.100000000000001" customHeight="1">
      <c r="A9" s="28">
        <v>6</v>
      </c>
      <c r="B9" s="61" t="str">
        <f>TABELA!B15</f>
        <v>SRFFK MANIRO - KOLAŠIN</v>
      </c>
      <c r="C9" s="25">
        <f>POJEDINACNO!O12</f>
        <v>8000</v>
      </c>
      <c r="D9" s="25">
        <f>POJEDINACNO!P12</f>
        <v>8</v>
      </c>
      <c r="E9" s="25">
        <f>POJEDINACNO!O21</f>
        <v>3160</v>
      </c>
      <c r="F9" s="25">
        <f>POJEDINACNO!P21</f>
        <v>15</v>
      </c>
      <c r="G9" s="25">
        <f>POJEDINACNO!O30</f>
        <v>3100</v>
      </c>
      <c r="H9" s="25">
        <f>POJEDINACNO!P30</f>
        <v>13</v>
      </c>
      <c r="I9" s="26">
        <f t="shared" si="0"/>
        <v>14260</v>
      </c>
      <c r="J9" s="25">
        <f t="shared" si="1"/>
        <v>36</v>
      </c>
      <c r="K9" s="62">
        <f t="shared" si="2"/>
        <v>3</v>
      </c>
    </row>
    <row r="10" spans="1:11" ht="20.100000000000001" customHeight="1">
      <c r="A10" s="28">
        <v>7</v>
      </c>
      <c r="B10" s="61" t="str">
        <f>TABELA!B16</f>
        <v>SRK VODENE LISICE - PODGORICA</v>
      </c>
      <c r="C10" s="25">
        <f>POJEDINACNO!O13</f>
        <v>3100</v>
      </c>
      <c r="D10" s="25">
        <f>POJEDINACNO!P13</f>
        <v>19</v>
      </c>
      <c r="E10" s="25">
        <f>POJEDINACNO!O22</f>
        <v>4060</v>
      </c>
      <c r="F10" s="25">
        <f>POJEDINACNO!P22</f>
        <v>16</v>
      </c>
      <c r="G10" s="25">
        <f>POJEDINACNO!O31</f>
        <v>3940</v>
      </c>
      <c r="H10" s="25">
        <f>POJEDINACNO!P31</f>
        <v>13</v>
      </c>
      <c r="I10" s="26">
        <f t="shared" si="0"/>
        <v>11100</v>
      </c>
      <c r="J10" s="25">
        <f t="shared" si="1"/>
        <v>48</v>
      </c>
      <c r="K10" s="62">
        <f t="shared" si="2"/>
        <v>5</v>
      </c>
    </row>
    <row r="11" spans="1:11" ht="20.100000000000001" customHeight="1">
      <c r="A11" s="28">
        <v>8</v>
      </c>
      <c r="B11" s="61" t="str">
        <f>TABELA!B17</f>
        <v>SRK LIPLJEN - PLJEVLJA</v>
      </c>
      <c r="C11" s="25">
        <f>POJEDINACNO!O14</f>
        <v>3560</v>
      </c>
      <c r="D11" s="25">
        <f>POJEDINACNO!P14</f>
        <v>17</v>
      </c>
      <c r="E11" s="25">
        <f>POJEDINACNO!O23</f>
        <v>3920</v>
      </c>
      <c r="F11" s="25">
        <f>POJEDINACNO!P23</f>
        <v>10</v>
      </c>
      <c r="G11" s="25">
        <f>POJEDINACNO!O32</f>
        <v>780</v>
      </c>
      <c r="H11" s="25">
        <f>POJEDINACNO!P32</f>
        <v>24</v>
      </c>
      <c r="I11" s="26">
        <f t="shared" si="0"/>
        <v>8260</v>
      </c>
      <c r="J11" s="25">
        <f t="shared" si="1"/>
        <v>51</v>
      </c>
      <c r="K11" s="62">
        <f t="shared" si="2"/>
        <v>6</v>
      </c>
    </row>
    <row r="12" spans="1:11" ht="19.5" thickBot="1">
      <c r="A12" s="63">
        <v>9</v>
      </c>
      <c r="B12" s="64" t="str">
        <f>TABELA!B18</f>
        <v>SRK KOLAŠIN</v>
      </c>
      <c r="C12" s="65">
        <f>POJEDINACNO!O15</f>
        <v>3100</v>
      </c>
      <c r="D12" s="65">
        <f>POJEDINACNO!P15</f>
        <v>16</v>
      </c>
      <c r="E12" s="65">
        <f>POJEDINACNO!O24</f>
        <v>3940</v>
      </c>
      <c r="F12" s="65">
        <f>POJEDINACNO!P24</f>
        <v>13</v>
      </c>
      <c r="G12" s="65">
        <f>POJEDINACNO!O33</f>
        <v>4940</v>
      </c>
      <c r="H12" s="65">
        <f>POJEDINACNO!P33</f>
        <v>15</v>
      </c>
      <c r="I12" s="66">
        <f t="shared" ref="I12" si="3">(C12+E12+G12)</f>
        <v>11980</v>
      </c>
      <c r="J12" s="35">
        <f t="shared" ref="J12" si="4">(D12+F12+H12)</f>
        <v>44</v>
      </c>
      <c r="K12" s="67">
        <f t="shared" si="2"/>
        <v>4</v>
      </c>
    </row>
    <row r="13" spans="1:11">
      <c r="A13" s="14"/>
      <c r="B13" s="14"/>
      <c r="C13" s="14"/>
      <c r="D13" s="14"/>
      <c r="E13" s="14"/>
      <c r="F13" s="14"/>
      <c r="G13" s="14"/>
      <c r="H13" s="14"/>
      <c r="I13" s="14"/>
      <c r="J13" s="14"/>
      <c r="K13" s="14"/>
    </row>
    <row r="14" spans="1:11" ht="15.75" thickBot="1">
      <c r="A14" s="14"/>
      <c r="B14" s="14"/>
      <c r="C14" s="14"/>
      <c r="D14" s="14"/>
      <c r="E14" s="14"/>
      <c r="F14" s="14"/>
      <c r="G14" s="14"/>
      <c r="H14" s="14"/>
      <c r="I14" s="14"/>
      <c r="J14" s="14"/>
      <c r="K14" s="14"/>
    </row>
    <row r="15" spans="1:11" ht="30">
      <c r="A15" s="14"/>
      <c r="B15" s="207" t="s">
        <v>45</v>
      </c>
      <c r="C15" s="208"/>
      <c r="D15" s="14"/>
      <c r="E15" s="14"/>
      <c r="F15" s="14"/>
      <c r="G15" s="14"/>
      <c r="H15" s="14"/>
      <c r="I15" s="14"/>
      <c r="J15" s="14"/>
      <c r="K15" s="14"/>
    </row>
    <row r="16" spans="1:11" ht="33" customHeight="1">
      <c r="A16" s="14"/>
      <c r="B16" s="70" t="s">
        <v>46</v>
      </c>
      <c r="C16" s="68">
        <f>SUM('GRUPA I'!C38:C40,'GRUPA I'!E38:E40,'GRUPA I'!G38:G40,'GRUPA I'!I38:I40,'GRUPA I'!K38:K40,'GRUPA I'!M38:M40,'GRUPA I'!O38:O40,'GRUPA I'!Q38:Q40,'GRUPA I'!S38:S40,'GRUPA I'!C83:C85,'GRUPA I'!E83:E85,'GRUPA I'!G83:G85,'GRUPA I'!I83:I85,'GRUPA I'!K83:K85,'GRUPA I'!M83:M85,'GRUPA I'!O83:O85,'GRUPA I'!Q83:Q85,'GRUPA I'!S83:S85,'GRUPA I'!C126:C128,'GRUPA I'!E126:E128,'GRUPA I'!F126:F128,'GRUPA I'!G126:G128,'GRUPA I'!I126:I128,'GRUPA I'!K126:K128,'GRUPA I'!M126:M128,'GRUPA I'!O126:O128,'GRUPA I'!Q126:Q128,'GRUPA I'!S126:S128,'GRUPA II'!C38:C40,'GRUPA II'!E38:E40,'GRUPA II'!G38:G40,'GRUPA II'!I38:I40,'GRUPA II'!K38:K40,'GRUPA II'!M38:M40,'GRUPA II'!O38:O40,'GRUPA II'!Q38:Q40,'GRUPA II'!S38:S40,'GRUPA II'!C82:C84,'GRUPA II'!E82:E84,'GRUPA II'!G82:G84,'GRUPA II'!I82:I84,'GRUPA II'!K82:K84,'GRUPA II'!M82:M84,'GRUPA II'!O82:O84,'GRUPA II'!Q82:Q84,'GRUPA II'!S82:S84,'GRUPA II'!C127:C129,'GRUPA II'!E127:E129,'GRUPA II'!G127:G129,'GRUPA II'!I127:I129,'GRUPA II'!K127:K129,'GRUPA II'!M127:M129,'GRUPA II'!O127:O129,'GRUPA II'!Q127:Q129,'GRUPA II'!S127:S129,'GRUPA III'!C38:C40,'GRUPA III'!E38:E40,'GRUPA III'!G38:G40,'GRUPA III'!I38:I40,'GRUPA III'!K38:K40,'GRUPA III'!M38:M40,'GRUPA III'!O38:O40,'GRUPA III'!Q38:Q40,'GRUPA III'!S38:S40,'GRUPA III'!C82:C84,'GRUPA III'!E82:E84,'GRUPA III'!G82:G84,'GRUPA III'!I82:I84,'GRUPA III'!K82:K84,'GRUPA III'!M82:M84,'GRUPA III'!O82:O84,'GRUPA III'!Q82:Q84,'GRUPA III'!S82:S84,'GRUPA III'!C126:C128,'GRUPA III'!E126:E128,'GRUPA III'!G126:G128,'GRUPA III'!I126:I128,'GRUPA III'!K126:K128,'GRUPA III'!M126:M128,'GRUPA III'!O126:O128,'GRUPA III'!Q126:Q128,'GRUPA III'!S126:S128,)</f>
        <v>161</v>
      </c>
      <c r="D16" s="14"/>
      <c r="E16" s="14"/>
      <c r="F16" s="14"/>
      <c r="G16" s="14"/>
      <c r="H16" s="14"/>
      <c r="I16" s="14"/>
      <c r="J16" s="14"/>
      <c r="K16" s="14"/>
    </row>
    <row r="17" spans="1:11" ht="41.25" customHeight="1" thickBot="1">
      <c r="A17" s="14"/>
      <c r="B17" s="71" t="s">
        <v>47</v>
      </c>
      <c r="C17" s="69">
        <f>MAX('GRUPA I'!C41,'GRUPA I'!E41,'GRUPA I'!G41,'GRUPA I'!I41,'GRUPA I'!K41,'GRUPA I'!M41,'GRUPA I'!O41,'GRUPA I'!Q41,'GRUPA I'!S41,'GRUPA I'!C86,'GRUPA I'!E86,'GRUPA I'!G86,'GRUPA I'!I86,'GRUPA I'!K86,'GRUPA I'!M86,'GRUPA I'!O86,'GRUPA I'!Q86,'GRUPA I'!S86,'GRUPA I'!C129,'GRUPA I'!E129,'GRUPA I'!G129,'GRUPA I'!I129,'GRUPA I'!K129,'GRUPA I'!M129,'GRUPA I'!O129,'GRUPA I'!Q129,'GRUPA I'!S129,'GRUPA II'!C41,'GRUPA II'!E41,'GRUPA II'!G41,'GRUPA II'!I41,'GRUPA II'!K41,'GRUPA II'!M41,'GRUPA II'!O41,'GRUPA II'!Q41,'GRUPA II'!S41,'GRUPA II'!C85,'GRUPA II'!E85,'GRUPA II'!G85,'GRUPA II'!I85,'GRUPA II'!K85,'GRUPA II'!M85,'GRUPA II'!O85,'GRUPA II'!Q85,'GRUPA II'!S85,'GRUPA II'!C130,'GRUPA II'!E130,'GRUPA II'!G130,'GRUPA II'!I130,'GRUPA II'!K130,'GRUPA II'!M130,'GRUPA II'!O130,'GRUPA II'!Q130,'GRUPA II'!S130,'GRUPA III'!C41,'GRUPA III'!E41,'GRUPA III'!G41,'GRUPA III'!I41,'GRUPA III'!K41,'GRUPA III'!M41,'GRUPA III'!O41,'GRUPA III'!Q41,'GRUPA III'!S41,'GRUPA III'!C85,'GRUPA III'!E85,'GRUPA III'!G85,'GRUPA III'!I85,'GRUPA III'!K85,'GRUPA III'!M85,'GRUPA III'!O85,'GRUPA III'!Q85,'GRUPA III'!S85,'GRUPA III'!C129,'GRUPA III'!E129,'GRUPA III'!G129,'GRUPA III'!I129,'GRUPA III'!K129,'GRUPA III'!M129,'GRUPA III'!O129,'GRUPA III'!Q129,'GRUPA III'!S129,)</f>
        <v>45</v>
      </c>
      <c r="D17" s="14"/>
      <c r="E17" s="14"/>
      <c r="F17" s="14"/>
      <c r="G17" s="14"/>
      <c r="H17" s="14"/>
      <c r="I17" s="14"/>
      <c r="J17" s="14"/>
      <c r="K17" s="14"/>
    </row>
    <row r="18" spans="1:11">
      <c r="A18" s="14"/>
      <c r="B18" s="14"/>
      <c r="C18" s="14"/>
      <c r="D18" s="14"/>
      <c r="E18" s="14"/>
      <c r="F18" s="14"/>
      <c r="G18" s="14"/>
      <c r="H18" s="14"/>
      <c r="I18" s="14"/>
      <c r="J18" s="14"/>
      <c r="K18" s="14"/>
    </row>
  </sheetData>
  <mergeCells count="2">
    <mergeCell ref="A2:K2"/>
    <mergeCell ref="B15:C15"/>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TABELA</vt:lpstr>
      <vt:lpstr>GRUPA I</vt:lpstr>
      <vt:lpstr>GRUPA II</vt:lpstr>
      <vt:lpstr>GRUPA III</vt:lpstr>
      <vt:lpstr>POJEDINACNO</vt:lpstr>
      <vt:lpstr>EKIPNI PLASMAN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xylo doo</dc:creator>
  <cp:lastModifiedBy>PC</cp:lastModifiedBy>
  <cp:lastPrinted>2021-06-15T11:52:35Z</cp:lastPrinted>
  <dcterms:created xsi:type="dcterms:W3CDTF">2021-06-15T10:49:16Z</dcterms:created>
  <dcterms:modified xsi:type="dcterms:W3CDTF">2026-09-28T12:47:36Z</dcterms:modified>
</cp:coreProperties>
</file>