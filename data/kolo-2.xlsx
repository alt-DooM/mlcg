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A" sheetId="1" state="visible" r:id="rId3"/>
    <sheet name="GRUPA I" sheetId="2" state="visible" r:id="rId4"/>
    <sheet name="GRUPA II" sheetId="3" state="visible" r:id="rId5"/>
    <sheet name="GRUPA III" sheetId="4" state="visible" r:id="rId6"/>
    <sheet name="POJEDINACNO" sheetId="5" state="visible" r:id="rId7"/>
    <sheet name="EKIPNI PLASMA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<sst xmlns="http://schemas.openxmlformats.org/spreadsheetml/2006/main" count="667" uniqueCount="88">
  <si>
    <t xml:space="preserve">SAVEZ SPORTSKO RIBOLOVNIH ORGANIZACIJA CRNE GORE</t>
  </si>
  <si>
    <t xml:space="preserve">TABELA ŽRIJEBA</t>
  </si>
  <si>
    <t xml:space="preserve">Disciplina: Mušičarenje</t>
  </si>
  <si>
    <t xml:space="preserve">Datum: 19. 07. 2026. godine</t>
  </si>
  <si>
    <t xml:space="preserve">Mjesto održavanja: Rijeka Tara i Biogradsko jezero</t>
  </si>
  <si>
    <t xml:space="preserve">Kolo: 2.</t>
  </si>
  <si>
    <t xml:space="preserve">ŠIFRA EKIPE</t>
  </si>
  <si>
    <t xml:space="preserve">NAZIV KLUBA</t>
  </si>
  <si>
    <t xml:space="preserve">GRUPA I</t>
  </si>
  <si>
    <t xml:space="preserve">GRUPA II</t>
  </si>
  <si>
    <t xml:space="preserve">GRUPA III</t>
  </si>
  <si>
    <t xml:space="preserve">Ime i prezime takmičara</t>
  </si>
  <si>
    <t xml:space="preserve">SRK GORŠTAK - KOLAŠIN</t>
  </si>
  <si>
    <t xml:space="preserve">MILJAN ANĐIĆ</t>
  </si>
  <si>
    <t xml:space="preserve">VLATKO PEKOVIĆ</t>
  </si>
  <si>
    <t xml:space="preserve">NIKOLA TREBJEŠANIN</t>
  </si>
  <si>
    <t xml:space="preserve">SRK KOLAŠIN</t>
  </si>
  <si>
    <t xml:space="preserve">ARSO JEREMIĆ</t>
  </si>
  <si>
    <t xml:space="preserve">IVICA RAJKOVIĆ</t>
  </si>
  <si>
    <t xml:space="preserve">NIKOLA POPOVIĆ</t>
  </si>
  <si>
    <t xml:space="preserve">SRK VODENE LISICE</t>
  </si>
  <si>
    <t xml:space="preserve">NIKOLA ĐALOVIĆ</t>
  </si>
  <si>
    <t xml:space="preserve">PETAR OBRADOVIĆ</t>
  </si>
  <si>
    <t xml:space="preserve">MARKO BAKIĆ</t>
  </si>
  <si>
    <t xml:space="preserve">SRK TARA - MOJKOVAC</t>
  </si>
  <si>
    <t xml:space="preserve">SAVO RAIČEVIĆ</t>
  </si>
  <si>
    <t xml:space="preserve">BOJAN GOVEDARICA</t>
  </si>
  <si>
    <t xml:space="preserve">BOGDAN GOVEDARICA</t>
  </si>
  <si>
    <t xml:space="preserve">SRFFK MANIRO - KOLAŠIN</t>
  </si>
  <si>
    <t xml:space="preserve">RADOVAN KRKOVIĆ</t>
  </si>
  <si>
    <t xml:space="preserve">BOGDAN MARKOVIĆ</t>
  </si>
  <si>
    <t xml:space="preserve">GORAN OBRENOVIĆ</t>
  </si>
  <si>
    <t xml:space="preserve">SRFFK RAVNJAK - MOJKOVAC</t>
  </si>
  <si>
    <t xml:space="preserve">ALEKSANDAR GAŠEVIĆ</t>
  </si>
  <si>
    <t xml:space="preserve">BALŠA FUŠTIĆ</t>
  </si>
  <si>
    <t xml:space="preserve">MILAN FUŠTIĆ</t>
  </si>
  <si>
    <t xml:space="preserve">SRK LIM - BERANE</t>
  </si>
  <si>
    <t xml:space="preserve">MILUN ĐUROVIĆ</t>
  </si>
  <si>
    <t xml:space="preserve">RADULE MIĆOVIĆ</t>
  </si>
  <si>
    <t xml:space="preserve">BOŠKO VULEVIĆ</t>
  </si>
  <si>
    <t xml:space="preserve">SRK LIPLJEN - PLJEVLJA</t>
  </si>
  <si>
    <t xml:space="preserve">KEMAL AJANOVIĆ</t>
  </si>
  <si>
    <t xml:space="preserve">MEHMED DŽIDIĆ</t>
  </si>
  <si>
    <t xml:space="preserve">MUMIN HEKALO</t>
  </si>
  <si>
    <t xml:space="preserve">SRK PLAVSKO JEZERO</t>
  </si>
  <si>
    <t xml:space="preserve">DAMIR CANOVIĆ</t>
  </si>
  <si>
    <t xml:space="preserve">ORHAN BAŠIĆ</t>
  </si>
  <si>
    <t xml:space="preserve">OMAR BAŠIĆ</t>
  </si>
  <si>
    <t xml:space="preserve">GRUPA I                                          PRVA SESIJA</t>
  </si>
  <si>
    <t xml:space="preserve">Redni broj</t>
  </si>
  <si>
    <t xml:space="preserve">Ime i Prezime</t>
  </si>
  <si>
    <t xml:space="preserve">dužina-cm</t>
  </si>
  <si>
    <t xml:space="preserve">POENI</t>
  </si>
  <si>
    <t xml:space="preserve">UKUPNO POENA</t>
  </si>
  <si>
    <t xml:space="preserve">PLASMAN u ovoj sesiji</t>
  </si>
  <si>
    <t xml:space="preserve">UKUPNO RIBA</t>
  </si>
  <si>
    <t xml:space="preserve">NAJDUŽA RIBA</t>
  </si>
  <si>
    <t xml:space="preserve">GRUPA I                                          DRUGA SESIJA</t>
  </si>
  <si>
    <t xml:space="preserve">GRUPA I                                          TREĆA SESIJA</t>
  </si>
  <si>
    <t xml:space="preserve">GRUPA II                                          PRVA SESIJA</t>
  </si>
  <si>
    <t xml:space="preserve">GRUPA II                                          DRUGA SESIJA</t>
  </si>
  <si>
    <t xml:space="preserve">GRUPA II                                          TREĆA SESIJA</t>
  </si>
  <si>
    <t xml:space="preserve">GRUPA III                                          PRVA SESIJA</t>
  </si>
  <si>
    <t xml:space="preserve">GRUPA III                                          DRUGA SESIJA</t>
  </si>
  <si>
    <t xml:space="preserve">GRUPA III                                          TREĆA SESIJA</t>
  </si>
  <si>
    <t xml:space="preserve">MUŠIČARSKA LIGA CRNE GORE                           UKUPAN PLASMAN - PRVO KOLO</t>
  </si>
  <si>
    <t xml:space="preserve">IME I PREZIME</t>
  </si>
  <si>
    <t xml:space="preserve">SESIJA I</t>
  </si>
  <si>
    <t xml:space="preserve">SESIJA II</t>
  </si>
  <si>
    <t xml:space="preserve">SESIJA III</t>
  </si>
  <si>
    <t xml:space="preserve">UKUPNO</t>
  </si>
  <si>
    <t xml:space="preserve">UKUPAN PLASMAN</t>
  </si>
  <si>
    <t xml:space="preserve">Poena I sesija</t>
  </si>
  <si>
    <t xml:space="preserve">Sektorski Plasman</t>
  </si>
  <si>
    <t xml:space="preserve">Poena II sesija</t>
  </si>
  <si>
    <t xml:space="preserve">Poena III sesija</t>
  </si>
  <si>
    <t xml:space="preserve">ZBIR SEKTORSKIH PLASMANA</t>
  </si>
  <si>
    <t xml:space="preserve">MUŠIČARSKA LIGA CRNE GORE - EKIPNI REZULTATI </t>
  </si>
  <si>
    <t xml:space="preserve">IME KLUBA</t>
  </si>
  <si>
    <t xml:space="preserve">TAKMIČAR GRUPA I UKUPNO POENA</t>
  </si>
  <si>
    <t xml:space="preserve">TAKMIČAR GRUPA I UKUPAN PLASMAN</t>
  </si>
  <si>
    <t xml:space="preserve">TAKMIČAR GRUPA II UKUPNO POENA</t>
  </si>
  <si>
    <t xml:space="preserve">TAKMIČAR GRUPA II UKUPAN PLASMAN</t>
  </si>
  <si>
    <t xml:space="preserve">TAKMIČAR GRUPA III UKUPNO POENA</t>
  </si>
  <si>
    <t xml:space="preserve">TAKMIČAR GRUPA III UKUPAN PLASMAN</t>
  </si>
  <si>
    <t xml:space="preserve">S T A T I S T I K A</t>
  </si>
  <si>
    <t xml:space="preserve">UKUPNO ULOVLJENIH RIBA U KOLU</t>
  </si>
  <si>
    <t xml:space="preserve">NAJDUŽA IZMJERENA RIBA KOLA</t>
  </si>
</sst>
</file>

<file path=xl/styles.xml><?xml version="1.0" encoding="utf-8"?>
<styleSheet xmlns="http://schemas.openxmlformats.org/spreadsheetml/2006/main">
  <numFmts count="2">
    <numFmt numFmtId="164" formatCode="General"/>
    <numFmt numFmtId="165" formatCode="0%"/>
  </numFmts>
  <fonts count="24">
    <font>
      <sz val="11"/>
      <color theme="1"/>
      <name val="Calibri"/>
      <family val="2"/>
      <charset val="238"/>
    </font>
    <font>
      <sz val="10"/>
      <name val="Arial"/>
      <family val="0"/>
      <charset val="238"/>
    </font>
    <font>
      <sz val="10"/>
      <name val="Arial"/>
      <family val="0"/>
      <charset val="238"/>
    </font>
    <font>
      <sz val="10"/>
      <name val="Arial"/>
      <family val="0"/>
      <charset val="238"/>
    </font>
    <font>
      <sz val="14"/>
      <color theme="1"/>
      <name val="Times New Roman"/>
      <family val="1"/>
      <charset val="1"/>
    </font>
    <font>
      <sz val="18"/>
      <color theme="1"/>
      <name val="Times New Roman"/>
      <family val="1"/>
      <charset val="1"/>
    </font>
    <font>
      <sz val="16"/>
      <color theme="1"/>
      <name val="Times New Roman"/>
      <family val="1"/>
      <charset val="1"/>
    </font>
    <font>
      <sz val="11"/>
      <color theme="1"/>
      <name val="Times New Roman"/>
      <family val="1"/>
      <charset val="1"/>
    </font>
    <font>
      <sz val="12"/>
      <color theme="1"/>
      <name val="Times New Roman"/>
      <family val="1"/>
      <charset val="1"/>
    </font>
    <font>
      <sz val="20"/>
      <color theme="1"/>
      <name val="Times New Roman"/>
      <family val="1"/>
      <charset val="1"/>
    </font>
    <font>
      <sz val="11"/>
      <color theme="1"/>
      <name val="Bahnschrift Condensed"/>
      <family val="2"/>
      <charset val="1"/>
    </font>
    <font>
      <sz val="14"/>
      <color theme="1"/>
      <name val="Calibri"/>
      <family val="2"/>
      <charset val="238"/>
    </font>
    <font>
      <sz val="18"/>
      <color theme="1"/>
      <name val="Bahnschrift Condensed"/>
      <family val="2"/>
      <charset val="1"/>
    </font>
    <font>
      <sz val="14"/>
      <color theme="1"/>
      <name val="Bahnschrift Condensed"/>
      <family val="2"/>
      <charset val="1"/>
    </font>
    <font>
      <sz val="12"/>
      <color theme="1"/>
      <name val="Bahnschrift Condensed"/>
      <family val="2"/>
      <charset val="1"/>
    </font>
    <font>
      <sz val="11"/>
      <color theme="1"/>
      <name val="Calibri"/>
      <family val="2"/>
      <charset val="1"/>
    </font>
    <font>
      <sz val="10"/>
      <color theme="1"/>
      <name val="Bahnschrift Condensed"/>
      <family val="2"/>
      <charset val="1"/>
    </font>
    <font>
      <sz val="20"/>
      <color theme="2" tint="-0.75"/>
      <name val="Times New Roman"/>
      <family val="1"/>
      <charset val="1"/>
    </font>
    <font>
      <sz val="14"/>
      <name val="Times New Roman"/>
      <family val="1"/>
      <charset val="1"/>
    </font>
    <font>
      <sz val="16"/>
      <name val="Times New Roman"/>
      <family val="1"/>
      <charset val="1"/>
    </font>
    <font>
      <b val="true"/>
      <sz val="11"/>
      <color theme="1"/>
      <name val="Times New Roman"/>
      <family val="1"/>
      <charset val="1"/>
    </font>
    <font>
      <b val="true"/>
      <sz val="14"/>
      <color theme="1"/>
      <name val="Times New Roman"/>
      <family val="1"/>
      <charset val="1"/>
    </font>
    <font>
      <b val="true"/>
      <sz val="24"/>
      <color theme="1"/>
      <name val="Times New Roman"/>
      <family val="1"/>
      <charset val="1"/>
    </font>
    <font>
      <b val="true"/>
      <sz val="20"/>
      <color theme="1"/>
      <name val="Times New Roman"/>
      <family val="1"/>
      <charset val="1"/>
    </font>
  </fonts>
  <fills count="7">
    <fill>
      <patternFill patternType="none"/>
    </fill>
    <fill>
      <patternFill patternType="gray125"/>
    </fill>
    <fill>
      <patternFill patternType="solid">
        <fgColor theme="6" tint="0.7999"/>
        <bgColor rgb="FFDBEEF4"/>
      </patternFill>
    </fill>
    <fill>
      <patternFill patternType="solid">
        <fgColor theme="8" tint="0.7999"/>
        <bgColor rgb="FFEBF1DE"/>
      </patternFill>
    </fill>
    <fill>
      <patternFill patternType="solid">
        <fgColor theme="5" tint="0.7999"/>
        <bgColor rgb="FFDDD9C3"/>
      </patternFill>
    </fill>
    <fill>
      <patternFill patternType="solid">
        <fgColor theme="2" tint="-0.1"/>
        <bgColor rgb="FFF2DCDB"/>
      </patternFill>
    </fill>
    <fill>
      <patternFill patternType="solid">
        <fgColor theme="0"/>
        <bgColor rgb="FFEBF1DE"/>
      </patternFill>
    </fill>
  </fills>
  <borders count="43">
    <border diagonalUp="false" diagonalDown="false">
      <left/>
      <right/>
      <top/>
      <bottom/>
      <diagonal/>
    </border>
    <border diagonalUp="false" diagonalDown="false">
      <left style="medium"/>
      <right style="medium"/>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medium"/>
      <top style="thin"/>
      <bottom style="thin"/>
      <diagonal/>
    </border>
    <border diagonalUp="false" diagonalDown="false">
      <left/>
      <right style="medium"/>
      <top style="thin"/>
      <bottom style="thin"/>
      <diagonal/>
    </border>
    <border diagonalUp="false" diagonalDown="false">
      <left/>
      <right/>
      <top style="thin"/>
      <bottom style="thin"/>
      <diagonal/>
    </border>
    <border diagonalUp="false" diagonalDown="false">
      <left style="medium"/>
      <right style="medium"/>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top style="thin"/>
      <bottom/>
      <diagonal/>
    </border>
    <border diagonalUp="false" diagonalDown="false">
      <left style="thin"/>
      <right style="thin"/>
      <top style="thin"/>
      <bottom/>
      <diagonal/>
    </border>
    <border diagonalUp="false" diagonalDown="false">
      <left style="medium"/>
      <right/>
      <top/>
      <bottom/>
      <diagonal/>
    </border>
    <border diagonalUp="false" diagonalDown="false">
      <left style="medium"/>
      <right/>
      <top/>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thin"/>
      <right style="medium"/>
      <top style="thin"/>
      <bottom/>
      <diagonal/>
    </border>
    <border diagonalUp="false" diagonalDown="false">
      <left style="medium"/>
      <right style="thin"/>
      <top style="thin"/>
      <bottom/>
      <diagonal/>
    </border>
    <border diagonalUp="false" diagonalDown="false">
      <left style="medium"/>
      <right style="thin"/>
      <top/>
      <bottom style="medium"/>
      <diagonal/>
    </border>
    <border diagonalUp="false" diagonalDown="false">
      <left style="medium"/>
      <right style="thin"/>
      <top/>
      <bottom/>
      <diagonal/>
    </border>
    <border diagonalUp="false" diagonalDown="false">
      <left style="medium"/>
      <right style="medium"/>
      <top style="medium"/>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style="medium"/>
      <top style="medium"/>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medium"/>
      <top/>
      <bottom style="thin"/>
      <diagonal/>
    </border>
    <border diagonalUp="false" diagonalDown="false">
      <left/>
      <right style="medium"/>
      <top/>
      <bottom style="thin"/>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style="medium"/>
      <right style="medium"/>
      <top/>
      <bottom style="medium"/>
      <diagonal/>
    </border>
    <border diagonalUp="false" diagonalDown="false">
      <left/>
      <right/>
      <top/>
      <bottom style="medium"/>
      <diagonal/>
    </border>
    <border diagonalUp="false" diagonalDown="false">
      <left style="thin"/>
      <right style="medium"/>
      <top/>
      <bottom style="medium"/>
      <diagonal/>
    </border>
    <border diagonalUp="false" diagonalDown="false">
      <left style="thin"/>
      <right style="thin"/>
      <top/>
      <bottom style="medium"/>
      <diagonal/>
    </border>
    <border diagonalUp="false" diagonalDown="false">
      <left style="thin"/>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cellStyleXfs>
  <cellXfs count="1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9" fillId="4" borderId="3"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6" fillId="3" borderId="4" xfId="0" applyFont="true" applyBorder="true" applyAlignment="true" applyProtection="false">
      <alignment horizontal="center" vertical="center" textRotation="0" wrapText="false" indent="0" shrinkToFit="false"/>
      <protection locked="true" hidden="false"/>
    </xf>
    <xf numFmtId="164" fontId="6" fillId="4" borderId="5"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4" fillId="3" borderId="4" xfId="0" applyFont="true" applyBorder="true" applyAlignment="true" applyProtection="false">
      <alignment horizontal="center" vertical="center" textRotation="0" wrapText="false" indent="0" shrinkToFit="false"/>
      <protection locked="true" hidden="false"/>
    </xf>
    <xf numFmtId="164" fontId="4" fillId="4" borderId="5" xfId="0" applyFont="true" applyBorder="true" applyAlignment="true" applyProtection="false">
      <alignment horizontal="center" vertical="center" textRotation="0" wrapText="false" indent="0" shrinkToFit="false"/>
      <protection locked="true" hidden="false"/>
    </xf>
    <xf numFmtId="164" fontId="6" fillId="0" borderId="7" xfId="0" applyFont="true" applyBorder="true" applyAlignment="true" applyProtection="false">
      <alignment horizontal="center" vertical="center" textRotation="0" wrapText="false" indent="0" shrinkToFit="false"/>
      <protection locked="true" hidden="false"/>
    </xf>
    <xf numFmtId="164" fontId="8" fillId="0" borderId="8" xfId="0" applyFont="true" applyBorder="true" applyAlignment="true" applyProtection="false">
      <alignment horizontal="center" vertical="center" textRotation="0" wrapText="false" indent="0" shrinkToFit="false"/>
      <protection locked="true" hidden="false"/>
    </xf>
    <xf numFmtId="164" fontId="4" fillId="2" borderId="7" xfId="0" applyFont="true" applyBorder="true" applyAlignment="true" applyProtection="false">
      <alignment horizontal="center" vertical="center" textRotation="0" wrapText="false" indent="0" shrinkToFit="false"/>
      <protection locked="true" hidden="false"/>
    </xf>
    <xf numFmtId="164" fontId="4" fillId="3" borderId="7" xfId="0" applyFont="true" applyBorder="true" applyAlignment="true" applyProtection="false">
      <alignment horizontal="center" vertical="center" textRotation="0" wrapText="false" indent="0" shrinkToFit="false"/>
      <protection locked="true" hidden="false"/>
    </xf>
    <xf numFmtId="164" fontId="4" fillId="4" borderId="9"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7" fillId="0" borderId="10"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false" indent="0" shrinkToFit="false"/>
      <protection locked="true" hidden="false"/>
    </xf>
    <xf numFmtId="164" fontId="7" fillId="0" borderId="12" xfId="0" applyFont="true" applyBorder="true" applyAlignment="true" applyProtection="false">
      <alignment horizontal="center" vertical="center" textRotation="0" wrapText="false" indent="0" shrinkToFit="false"/>
      <protection locked="true" hidden="false"/>
    </xf>
    <xf numFmtId="164" fontId="7" fillId="0" borderId="13" xfId="0" applyFont="true" applyBorder="true" applyAlignment="true" applyProtection="false">
      <alignment horizontal="center" vertical="center" textRotation="0" wrapText="false" indent="0" shrinkToFit="false"/>
      <protection locked="true" hidden="false"/>
    </xf>
    <xf numFmtId="164" fontId="4" fillId="0" borderId="11" xfId="0" applyFont="true" applyBorder="true" applyAlignment="true" applyProtection="false">
      <alignment horizontal="center" vertical="center" textRotation="0" wrapText="false" indent="0" shrinkToFit="false"/>
      <protection locked="true" hidden="false"/>
    </xf>
    <xf numFmtId="164" fontId="4" fillId="0" borderId="12" xfId="0" applyFont="true" applyBorder="true" applyAlignment="true" applyProtection="false">
      <alignment horizontal="center" vertical="center" textRotation="0" wrapText="false" indent="0" shrinkToFit="false"/>
      <protection locked="true" hidden="false"/>
    </xf>
    <xf numFmtId="164" fontId="4" fillId="0" borderId="13" xfId="0" applyFont="true" applyBorder="true" applyAlignment="true" applyProtection="false">
      <alignment horizontal="center" vertical="center" textRotation="0" wrapText="false" indent="0" shrinkToFit="false"/>
      <protection locked="true" hidden="false"/>
    </xf>
    <xf numFmtId="164" fontId="7" fillId="0" borderId="10" xfId="0" applyFont="true" applyBorder="true" applyAlignment="true" applyProtection="false">
      <alignment horizontal="center" vertical="center" textRotation="0" wrapText="false" indent="0" shrinkToFit="false"/>
      <protection locked="true" hidden="false"/>
    </xf>
    <xf numFmtId="164" fontId="7" fillId="0" borderId="14" xfId="0" applyFont="true" applyBorder="true" applyAlignment="true" applyProtection="false">
      <alignment horizontal="center" vertical="center" textRotation="0" wrapText="fals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7" fillId="0" borderId="15" xfId="0" applyFont="true" applyBorder="true" applyAlignment="true" applyProtection="false">
      <alignment horizontal="center" vertical="center" textRotation="0" wrapText="false" indent="0" shrinkToFit="false"/>
      <protection locked="true" hidden="false"/>
    </xf>
    <xf numFmtId="164" fontId="7" fillId="0" borderId="16" xfId="0" applyFont="true" applyBorder="true" applyAlignment="true" applyProtection="false">
      <alignment horizontal="center" vertical="center" textRotation="0" wrapText="true" indent="0" shrinkToFit="false"/>
      <protection locked="true" hidden="false"/>
    </xf>
    <xf numFmtId="164" fontId="7" fillId="0" borderId="17" xfId="0" applyFont="true" applyBorder="true" applyAlignment="true" applyProtection="false">
      <alignment horizontal="general" vertical="center" textRotation="0" wrapText="false" indent="0" shrinkToFit="false"/>
      <protection locked="true" hidden="false"/>
    </xf>
    <xf numFmtId="164" fontId="7" fillId="0" borderId="18" xfId="0" applyFont="true" applyBorder="true" applyAlignment="false" applyProtection="false">
      <alignment horizontal="general" vertical="bottom" textRotation="0" wrapText="false" indent="0" shrinkToFit="false"/>
      <protection locked="true" hidden="false"/>
    </xf>
    <xf numFmtId="164" fontId="7" fillId="0" borderId="19" xfId="0" applyFont="true" applyBorder="true" applyAlignment="true" applyProtection="false">
      <alignment horizontal="center" vertical="center" textRotation="0" wrapText="true" indent="0" shrinkToFit="false"/>
      <protection locked="true" hidden="false"/>
    </xf>
    <xf numFmtId="164" fontId="7" fillId="0" borderId="19" xfId="0" applyFont="true" applyBorder="true" applyAlignment="true" applyProtection="false">
      <alignment horizontal="center" vertical="center"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7" fillId="0" borderId="21" xfId="0" applyFont="true" applyBorder="true" applyAlignment="true" applyProtection="false">
      <alignment horizontal="center" vertical="center" textRotation="0" wrapText="false" indent="0" shrinkToFit="false"/>
      <protection locked="true" hidden="false"/>
    </xf>
    <xf numFmtId="164" fontId="7" fillId="0" borderId="22" xfId="0" applyFont="true" applyBorder="true" applyAlignment="true" applyProtection="false">
      <alignment horizontal="center" vertical="center" textRotation="0" wrapText="false" indent="0" shrinkToFit="false"/>
      <protection locked="true" hidden="false"/>
    </xf>
    <xf numFmtId="164" fontId="7" fillId="0" borderId="20" xfId="0" applyFont="true" applyBorder="true" applyAlignment="true" applyProtection="false">
      <alignment horizontal="center" vertical="center" textRotation="0" wrapText="true" indent="0" shrinkToFit="false"/>
      <protection locked="true" hidden="false"/>
    </xf>
    <xf numFmtId="164" fontId="7" fillId="0" borderId="21" xfId="0" applyFont="true" applyBorder="true" applyAlignment="true" applyProtection="false">
      <alignment horizontal="center" vertical="center" textRotation="0" wrapText="true" indent="0" shrinkToFit="false"/>
      <protection locked="true" hidden="false"/>
    </xf>
    <xf numFmtId="164" fontId="7" fillId="0" borderId="23" xfId="0" applyFont="true" applyBorder="true" applyAlignment="true" applyProtection="false">
      <alignment horizontal="general" vertical="center" textRotation="0" wrapText="false" indent="0" shrinkToFit="false"/>
      <protection locked="true" hidden="false"/>
    </xf>
    <xf numFmtId="164" fontId="7" fillId="0" borderId="24" xfId="0" applyFont="true" applyBorder="true" applyAlignment="true" applyProtection="false">
      <alignment horizontal="general" vertical="center" textRotation="0" wrapText="false" indent="0" shrinkToFit="false"/>
      <protection locked="true" hidden="false"/>
    </xf>
    <xf numFmtId="164" fontId="7" fillId="0" borderId="17" xfId="0" applyFont="true" applyBorder="true" applyAlignment="false" applyProtection="false">
      <alignment horizontal="general" vertical="bottom" textRotation="0" wrapText="false" indent="0" shrinkToFit="false"/>
      <protection locked="true" hidden="false"/>
    </xf>
    <xf numFmtId="164" fontId="7" fillId="0" borderId="25" xfId="0" applyFont="true" applyBorder="true" applyAlignment="true" applyProtection="false">
      <alignment horizontal="general" vertical="center" textRotation="0" wrapText="false" indent="0" shrinkToFit="false"/>
      <protection locked="true" hidden="false"/>
    </xf>
    <xf numFmtId="164" fontId="9" fillId="4" borderId="26" xfId="0" applyFont="true" applyBorder="true" applyAlignment="true" applyProtection="false">
      <alignment horizontal="center" vertical="center" textRotation="0" wrapText="false" indent="0" shrinkToFit="false"/>
      <protection locked="true" hidden="false"/>
    </xf>
    <xf numFmtId="164" fontId="7" fillId="0" borderId="27" xfId="0" applyFont="true" applyBorder="true" applyAlignment="true" applyProtection="false">
      <alignment horizontal="center" vertical="center" textRotation="0" wrapText="true" indent="0" shrinkToFit="false"/>
      <protection locked="true" hidden="false"/>
    </xf>
    <xf numFmtId="164" fontId="7" fillId="0" borderId="28" xfId="0" applyFont="true" applyBorder="true" applyAlignment="true" applyProtection="false">
      <alignment horizontal="center" vertical="center" textRotation="0" wrapText="false" indent="0" shrinkToFit="false"/>
      <protection locked="true" hidden="false"/>
    </xf>
    <xf numFmtId="164" fontId="7" fillId="0" borderId="29"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7" fillId="5" borderId="30" xfId="0" applyFont="true" applyBorder="true" applyAlignment="true" applyProtection="false">
      <alignment horizontal="center" vertical="center" textRotation="0" wrapText="true" indent="0" shrinkToFit="false"/>
      <protection locked="true" hidden="false"/>
    </xf>
    <xf numFmtId="164" fontId="7" fillId="0" borderId="31" xfId="0" applyFont="true" applyBorder="true" applyAlignment="true" applyProtection="false">
      <alignment horizontal="center" vertical="center" textRotation="0" wrapText="true" indent="0" shrinkToFit="false"/>
      <protection locked="true" hidden="false"/>
    </xf>
    <xf numFmtId="164" fontId="7" fillId="0" borderId="32" xfId="0" applyFont="true" applyBorder="true" applyAlignment="true" applyProtection="false">
      <alignment horizontal="center" vertical="center" textRotation="0" wrapText="false" indent="0" shrinkToFit="false"/>
      <protection locked="true" hidden="false"/>
    </xf>
    <xf numFmtId="164" fontId="7" fillId="0" borderId="33" xfId="0" applyFont="true" applyBorder="true" applyAlignment="true" applyProtection="false">
      <alignment horizontal="center" vertical="center" textRotation="0" wrapText="false" indent="0" shrinkToFit="false"/>
      <protection locked="true" hidden="false"/>
    </xf>
    <xf numFmtId="164" fontId="18" fillId="6" borderId="34"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true" applyProtection="false">
      <alignment horizontal="center" vertical="center" textRotation="0" wrapText="true" indent="0" shrinkToFit="false"/>
      <protection locked="true" hidden="false"/>
    </xf>
    <xf numFmtId="164" fontId="7" fillId="0" borderId="35" xfId="0" applyFont="true" applyBorder="true" applyAlignment="true" applyProtection="false">
      <alignment horizontal="center" vertical="center" textRotation="0" wrapText="true" indent="0" shrinkToFit="false"/>
      <protection locked="true" hidden="false"/>
    </xf>
    <xf numFmtId="164" fontId="7" fillId="0" borderId="13" xfId="0" applyFont="true" applyBorder="true" applyAlignment="true" applyProtection="false">
      <alignment horizontal="center" vertical="center" textRotation="0" wrapText="true" indent="0" shrinkToFit="false"/>
      <protection locked="true" hidden="false"/>
    </xf>
    <xf numFmtId="164" fontId="20" fillId="0" borderId="10" xfId="0" applyFont="true" applyBorder="true" applyAlignment="true" applyProtection="false">
      <alignment horizontal="center" vertical="center" textRotation="0" wrapText="true" indent="0" shrinkToFit="false"/>
      <protection locked="true" hidden="false"/>
    </xf>
    <xf numFmtId="164" fontId="20" fillId="0" borderId="13" xfId="0" applyFont="true" applyBorder="true" applyAlignment="true" applyProtection="false">
      <alignment horizontal="center" vertical="center" textRotation="0" wrapText="true" indent="0" shrinkToFit="false"/>
      <protection locked="true" hidden="false"/>
    </xf>
    <xf numFmtId="164" fontId="7" fillId="6" borderId="36" xfId="0" applyFont="true" applyBorder="true" applyAlignment="true" applyProtection="false">
      <alignment horizontal="center" vertical="center" textRotation="0" wrapText="false" indent="0" shrinkToFit="false"/>
      <protection locked="true" hidden="false"/>
    </xf>
    <xf numFmtId="164" fontId="4" fillId="6" borderId="4" xfId="0" applyFont="true" applyBorder="true" applyAlignment="true" applyProtection="false">
      <alignment horizontal="center" vertical="center" textRotation="0" wrapText="false" indent="0" shrinkToFit="false"/>
      <protection locked="true" hidden="false"/>
    </xf>
    <xf numFmtId="164" fontId="7" fillId="6" borderId="6" xfId="0" applyFont="true" applyBorder="true" applyAlignment="true" applyProtection="false">
      <alignment horizontal="center" vertical="center" textRotation="0" wrapText="false" indent="0" shrinkToFit="false"/>
      <protection locked="true" hidden="false"/>
    </xf>
    <xf numFmtId="164" fontId="8" fillId="6" borderId="10" xfId="0" applyFont="true" applyBorder="true" applyAlignment="true" applyProtection="false">
      <alignment horizontal="center" vertical="center" textRotation="0" wrapText="false" indent="0" shrinkToFit="false"/>
      <protection locked="true" hidden="false"/>
    </xf>
    <xf numFmtId="164" fontId="8" fillId="6" borderId="13" xfId="0" applyFont="true" applyBorder="true" applyAlignment="true" applyProtection="false">
      <alignment horizontal="center" vertical="center" textRotation="0" wrapText="false" indent="0" shrinkToFit="false"/>
      <protection locked="true" hidden="false"/>
    </xf>
    <xf numFmtId="164" fontId="21" fillId="6" borderId="10" xfId="0" applyFont="true" applyBorder="true" applyAlignment="true" applyProtection="false">
      <alignment horizontal="center" vertical="center" textRotation="0" wrapText="false" indent="0" shrinkToFit="false"/>
      <protection locked="true" hidden="false"/>
    </xf>
    <xf numFmtId="164" fontId="21" fillId="6" borderId="13" xfId="0" applyFont="true" applyBorder="true" applyAlignment="true" applyProtection="false">
      <alignment horizontal="center" vertical="center" textRotation="0" wrapText="false" indent="0" shrinkToFit="false"/>
      <protection locked="true" hidden="false"/>
    </xf>
    <xf numFmtId="164" fontId="21" fillId="0" borderId="5" xfId="0" applyFont="true" applyBorder="true" applyAlignment="true" applyProtection="false">
      <alignment horizontal="center" vertical="center" textRotation="0" wrapText="false" indent="0" shrinkToFit="false"/>
      <protection locked="true" hidden="false"/>
    </xf>
    <xf numFmtId="164" fontId="7" fillId="6" borderId="4" xfId="0" applyFont="true" applyBorder="true" applyAlignment="true" applyProtection="false">
      <alignment horizontal="center" vertical="center" textRotation="0" wrapText="false" indent="0" shrinkToFit="false"/>
      <protection locked="true" hidden="false"/>
    </xf>
    <xf numFmtId="164" fontId="7" fillId="6" borderId="37" xfId="0" applyFont="true" applyBorder="true" applyAlignment="true" applyProtection="false">
      <alignment horizontal="center" vertical="center" textRotation="0" wrapText="false" indent="0" shrinkToFit="false"/>
      <protection locked="true" hidden="false"/>
    </xf>
    <xf numFmtId="164" fontId="4" fillId="6" borderId="38" xfId="0" applyFont="true" applyBorder="true" applyAlignment="true" applyProtection="false">
      <alignment horizontal="center" vertical="center" textRotation="0" wrapText="false" indent="0" shrinkToFit="false"/>
      <protection locked="true" hidden="false"/>
    </xf>
    <xf numFmtId="164" fontId="7" fillId="6" borderId="39" xfId="0" applyFont="true" applyBorder="true" applyAlignment="true" applyProtection="false">
      <alignment horizontal="center" vertical="center" textRotation="0" wrapText="false" indent="0" shrinkToFit="false"/>
      <protection locked="true" hidden="false"/>
    </xf>
    <xf numFmtId="164" fontId="8" fillId="6" borderId="24" xfId="0" applyFont="true" applyBorder="true" applyAlignment="true" applyProtection="false">
      <alignment horizontal="center" vertical="center" textRotation="0" wrapText="false" indent="0" shrinkToFit="false"/>
      <protection locked="true" hidden="false"/>
    </xf>
    <xf numFmtId="164" fontId="8" fillId="6" borderId="40" xfId="0" applyFont="true" applyBorder="true" applyAlignment="true" applyProtection="false">
      <alignment horizontal="center" vertical="center" textRotation="0" wrapText="false" indent="0" shrinkToFit="false"/>
      <protection locked="true" hidden="false"/>
    </xf>
    <xf numFmtId="164" fontId="21" fillId="6" borderId="24" xfId="0" applyFont="true" applyBorder="true" applyAlignment="true" applyProtection="false">
      <alignment horizontal="center" vertical="center" textRotation="0" wrapText="false" indent="0" shrinkToFit="false"/>
      <protection locked="true" hidden="false"/>
    </xf>
    <xf numFmtId="164" fontId="21" fillId="6" borderId="40"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20" fillId="6" borderId="31" xfId="0" applyFont="true" applyBorder="true" applyAlignment="true" applyProtection="false">
      <alignment horizontal="center" vertical="center" textRotation="0" wrapText="true" indent="0" shrinkToFit="false"/>
      <protection locked="true" hidden="false"/>
    </xf>
    <xf numFmtId="164" fontId="20" fillId="6" borderId="32" xfId="0" applyFont="true" applyBorder="true" applyAlignment="true" applyProtection="false">
      <alignment horizontal="center" vertical="center" textRotation="0" wrapText="false" indent="0" shrinkToFit="false"/>
      <protection locked="true" hidden="false"/>
    </xf>
    <xf numFmtId="164" fontId="20" fillId="6" borderId="32" xfId="0" applyFont="true" applyBorder="true" applyAlignment="true" applyProtection="false">
      <alignment horizontal="center" vertical="center" textRotation="0" wrapText="true" indent="0" shrinkToFit="false"/>
      <protection locked="true" hidden="false"/>
    </xf>
    <xf numFmtId="164" fontId="20" fillId="6" borderId="33" xfId="0" applyFont="true" applyBorder="true" applyAlignment="true" applyProtection="false">
      <alignment horizontal="center" vertical="center" textRotation="0" wrapText="true" indent="0" shrinkToFit="false"/>
      <protection locked="true" hidden="false"/>
    </xf>
    <xf numFmtId="164" fontId="20" fillId="6" borderId="11" xfId="0" applyFont="true" applyBorder="true" applyAlignment="true" applyProtection="false">
      <alignment horizontal="center" vertical="center" textRotation="0" wrapText="true" indent="0" shrinkToFit="false"/>
      <protection locked="true" hidden="false"/>
    </xf>
    <xf numFmtId="164" fontId="20" fillId="6" borderId="13" xfId="0" applyFont="true" applyBorder="true" applyAlignment="true" applyProtection="false">
      <alignment horizontal="center" vertical="center" textRotation="0" wrapText="true" indent="0" shrinkToFit="false"/>
      <protection locked="true" hidden="false"/>
    </xf>
    <xf numFmtId="164" fontId="7" fillId="0" borderId="24" xfId="0" applyFont="true" applyBorder="true" applyAlignment="true" applyProtection="false">
      <alignment horizontal="center" vertical="center" textRotation="0" wrapText="false" indent="0" shrinkToFit="false"/>
      <protection locked="true" hidden="false"/>
    </xf>
    <xf numFmtId="164" fontId="4" fillId="0" borderId="41" xfId="0" applyFont="true" applyBorder="true" applyAlignment="true" applyProtection="false">
      <alignment horizontal="center" vertical="center" textRotation="0" wrapText="false" indent="0" shrinkToFit="false"/>
      <protection locked="true" hidden="false"/>
    </xf>
    <xf numFmtId="164" fontId="7" fillId="0" borderId="41" xfId="0" applyFont="true" applyBorder="true" applyAlignment="true" applyProtection="false">
      <alignment horizontal="center" vertical="center" textRotation="0" wrapText="false" indent="0" shrinkToFit="false"/>
      <protection locked="true" hidden="false"/>
    </xf>
    <xf numFmtId="164" fontId="7" fillId="0" borderId="42" xfId="0" applyFont="true" applyBorder="true" applyAlignment="true" applyProtection="false">
      <alignment horizontal="center" vertical="center" textRotation="0" wrapText="false" indent="0" shrinkToFit="false"/>
      <protection locked="true" hidden="false"/>
    </xf>
    <xf numFmtId="164" fontId="4" fillId="0" borderId="2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23" fillId="0" borderId="13" xfId="0" applyFont="true" applyBorder="true" applyAlignment="true" applyProtection="false">
      <alignment horizontal="center" vertical="center" textRotation="0" wrapText="false" indent="0" shrinkToFit="false"/>
      <protection locked="true" hidden="false"/>
    </xf>
    <xf numFmtId="164" fontId="20" fillId="0" borderId="14" xfId="0" applyFont="true" applyBorder="true" applyAlignment="true" applyProtection="false">
      <alignment horizontal="center" vertical="center" textRotation="0" wrapText="true" indent="0" shrinkToFit="false"/>
      <protection locked="true" hidden="false"/>
    </xf>
    <xf numFmtId="164" fontId="23" fillId="0" borderId="21" xfId="19"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DBEEF4"/>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45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219240</xdr:colOff>
      <xdr:row>0</xdr:row>
      <xdr:rowOff>85680</xdr:rowOff>
    </xdr:from>
    <xdr:to>
      <xdr:col>1</xdr:col>
      <xdr:colOff>379440</xdr:colOff>
      <xdr:row>4</xdr:row>
      <xdr:rowOff>132120</xdr:rowOff>
    </xdr:to>
    <xdr:pic>
      <xdr:nvPicPr>
        <xdr:cNvPr id="1" name="Picture 1" descr="SSROCG"/>
        <xdr:cNvPicPr/>
      </xdr:nvPicPr>
      <xdr:blipFill>
        <a:blip r:embed="rId1"/>
        <a:stretch/>
      </xdr:blipFill>
      <xdr:spPr>
        <a:xfrm>
          <a:off x="219240" y="85680"/>
          <a:ext cx="894960" cy="941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2"/>
  <sheetViews>
    <sheetView showFormulas="false" showGridLines="true" showRowColHeaders="true" showZeros="true" rightToLeft="false" tabSelected="true" showOutlineSymbols="true" defaultGridColor="true" view="normal" topLeftCell="A3" colorId="64" zoomScale="90" zoomScaleNormal="90" zoomScalePageLayoutView="100" workbookViewId="0">
      <selection pane="topLeft" activeCell="H6" activeCellId="0" sqref="H6"/>
    </sheetView>
  </sheetViews>
  <sheetFormatPr defaultColWidth="8.54296875" defaultRowHeight="15" customHeight="false" zeroHeight="false" outlineLevelRow="0" outlineLevelCol="0"/>
  <cols>
    <col collapsed="false" customWidth="true" hidden="false" outlineLevel="0" max="1" min="1" style="0" width="10.42"/>
    <col collapsed="false" customWidth="true" hidden="false" outlineLevel="0" max="3" min="3" style="0" width="6.14"/>
    <col collapsed="false" customWidth="true" hidden="false" outlineLevel="0" max="4" min="4" style="0" width="5.71"/>
    <col collapsed="false" customWidth="true" hidden="false" outlineLevel="0" max="5" min="5" style="0" width="10.85"/>
    <col collapsed="false" customWidth="true" hidden="false" outlineLevel="0" max="6" min="6" style="0" width="8.42"/>
    <col collapsed="false" customWidth="true" hidden="false" outlineLevel="0" max="7" min="7" style="0" width="24.42"/>
    <col collapsed="false" customWidth="true" hidden="false" outlineLevel="0" max="8" min="8" style="0" width="12.15"/>
    <col collapsed="false" customWidth="true" hidden="false" outlineLevel="0" max="9" min="9" style="0" width="13.29"/>
    <col collapsed="false" customWidth="true" hidden="false" outlineLevel="0" max="10" min="10" style="0" width="7.42"/>
    <col collapsed="false" customWidth="true" hidden="false" outlineLevel="0" max="15" min="15" style="0" width="9.14"/>
  </cols>
  <sheetData>
    <row r="1" customFormat="false" ht="15" hidden="false" customHeight="true" outlineLevel="0" collapsed="false">
      <c r="A1" s="1"/>
      <c r="B1" s="1"/>
      <c r="C1" s="2" t="s">
        <v>0</v>
      </c>
      <c r="D1" s="2"/>
      <c r="E1" s="2"/>
      <c r="F1" s="2"/>
      <c r="G1" s="2"/>
      <c r="H1" s="2"/>
      <c r="I1" s="2"/>
      <c r="J1" s="2"/>
      <c r="K1" s="2"/>
      <c r="L1" s="2"/>
      <c r="M1" s="2"/>
      <c r="N1" s="2"/>
      <c r="O1" s="2"/>
      <c r="P1" s="2"/>
    </row>
    <row r="2" customFormat="false" ht="25.5" hidden="false" customHeight="true" outlineLevel="0" collapsed="false">
      <c r="A2" s="1"/>
      <c r="B2" s="1"/>
      <c r="C2" s="2"/>
      <c r="D2" s="2"/>
      <c r="E2" s="2"/>
      <c r="F2" s="2"/>
      <c r="G2" s="2"/>
      <c r="H2" s="2"/>
      <c r="I2" s="2"/>
      <c r="J2" s="2"/>
      <c r="K2" s="2"/>
      <c r="L2" s="2"/>
      <c r="M2" s="2"/>
      <c r="N2" s="2"/>
      <c r="O2" s="2"/>
      <c r="P2" s="2"/>
    </row>
    <row r="3" customFormat="false" ht="15" hidden="false" customHeight="true" outlineLevel="0" collapsed="false">
      <c r="A3" s="1"/>
      <c r="B3" s="1"/>
      <c r="C3" s="3" t="s">
        <v>1</v>
      </c>
      <c r="D3" s="3"/>
      <c r="E3" s="3"/>
      <c r="F3" s="3"/>
      <c r="G3" s="3"/>
      <c r="H3" s="3"/>
      <c r="I3" s="3"/>
      <c r="J3" s="3"/>
      <c r="K3" s="3"/>
      <c r="L3" s="3"/>
      <c r="M3" s="3"/>
      <c r="N3" s="3"/>
      <c r="O3" s="3"/>
      <c r="P3" s="3"/>
    </row>
    <row r="4" customFormat="false" ht="15" hidden="false" customHeight="true" outlineLevel="0" collapsed="false">
      <c r="A4" s="1"/>
      <c r="B4" s="1"/>
      <c r="C4" s="3"/>
      <c r="D4" s="3"/>
      <c r="E4" s="3"/>
      <c r="F4" s="3"/>
      <c r="G4" s="3"/>
      <c r="H4" s="3"/>
      <c r="I4" s="3"/>
      <c r="J4" s="3"/>
      <c r="K4" s="3"/>
      <c r="L4" s="3"/>
      <c r="M4" s="3"/>
      <c r="N4" s="3"/>
      <c r="O4" s="3"/>
      <c r="P4" s="3"/>
    </row>
    <row r="5" customFormat="false" ht="15" hidden="false" customHeight="false" outlineLevel="0" collapsed="false">
      <c r="A5" s="1"/>
      <c r="B5" s="1"/>
      <c r="C5" s="4"/>
      <c r="D5" s="4"/>
      <c r="E5" s="4"/>
      <c r="F5" s="4"/>
      <c r="G5" s="4"/>
      <c r="H5" s="4"/>
      <c r="I5" s="4"/>
      <c r="J5" s="4"/>
      <c r="K5" s="4"/>
      <c r="L5" s="4"/>
      <c r="M5" s="4"/>
      <c r="N5" s="4"/>
      <c r="O5" s="4"/>
      <c r="P5" s="4"/>
    </row>
    <row r="6" customFormat="false" ht="22.05" hidden="false" customHeight="false" outlineLevel="0" collapsed="false">
      <c r="A6" s="5" t="s">
        <v>2</v>
      </c>
      <c r="B6" s="5"/>
      <c r="C6" s="5"/>
      <c r="D6" s="5"/>
      <c r="E6" s="5" t="s">
        <v>3</v>
      </c>
      <c r="F6" s="5"/>
      <c r="G6" s="5"/>
      <c r="H6" s="5" t="s">
        <v>4</v>
      </c>
      <c r="I6" s="5"/>
      <c r="J6" s="5"/>
      <c r="K6" s="5"/>
      <c r="L6" s="5"/>
      <c r="M6" s="6" t="s">
        <v>5</v>
      </c>
      <c r="N6" s="6"/>
      <c r="O6" s="6"/>
      <c r="P6" s="4"/>
    </row>
    <row r="7" customFormat="false" ht="15" hidden="false" customHeight="false" outlineLevel="0" collapsed="false">
      <c r="A7" s="7"/>
      <c r="B7" s="8"/>
      <c r="C7" s="7"/>
      <c r="D7" s="7"/>
      <c r="E7" s="7"/>
      <c r="F7" s="7"/>
      <c r="G7" s="9"/>
      <c r="H7" s="10"/>
      <c r="I7" s="4"/>
      <c r="J7" s="4"/>
      <c r="K7" s="4"/>
      <c r="L7" s="4"/>
      <c r="M7" s="4"/>
      <c r="N7" s="4"/>
      <c r="O7" s="4"/>
      <c r="P7" s="4"/>
    </row>
    <row r="8" customFormat="false" ht="24.75" hidden="false" customHeight="true" outlineLevel="0" collapsed="false">
      <c r="A8" s="11" t="s">
        <v>6</v>
      </c>
      <c r="B8" s="12" t="s">
        <v>7</v>
      </c>
      <c r="C8" s="12"/>
      <c r="D8" s="12"/>
      <c r="E8" s="12"/>
      <c r="F8" s="13" t="s">
        <v>8</v>
      </c>
      <c r="G8" s="13"/>
      <c r="H8" s="14" t="s">
        <v>9</v>
      </c>
      <c r="I8" s="14"/>
      <c r="J8" s="14"/>
      <c r="K8" s="15" t="s">
        <v>10</v>
      </c>
      <c r="L8" s="15"/>
      <c r="M8" s="15"/>
      <c r="N8" s="15"/>
      <c r="O8" s="16"/>
      <c r="P8" s="4"/>
    </row>
    <row r="9" customFormat="false" ht="30" hidden="false" customHeight="true" outlineLevel="0" collapsed="false">
      <c r="A9" s="11"/>
      <c r="B9" s="12"/>
      <c r="C9" s="12"/>
      <c r="D9" s="12"/>
      <c r="E9" s="12"/>
      <c r="F9" s="17" t="s">
        <v>11</v>
      </c>
      <c r="G9" s="17"/>
      <c r="H9" s="18" t="s">
        <v>11</v>
      </c>
      <c r="I9" s="18"/>
      <c r="J9" s="18"/>
      <c r="K9" s="19" t="s">
        <v>11</v>
      </c>
      <c r="L9" s="19"/>
      <c r="M9" s="19"/>
      <c r="N9" s="19"/>
      <c r="O9" s="20"/>
      <c r="P9" s="4"/>
    </row>
    <row r="10" customFormat="false" ht="30" hidden="false" customHeight="true" outlineLevel="0" collapsed="false">
      <c r="A10" s="21" t="n">
        <v>1</v>
      </c>
      <c r="B10" s="22" t="s">
        <v>12</v>
      </c>
      <c r="C10" s="22"/>
      <c r="D10" s="22"/>
      <c r="E10" s="22"/>
      <c r="F10" s="23" t="s">
        <v>13</v>
      </c>
      <c r="G10" s="23"/>
      <c r="H10" s="24" t="s">
        <v>14</v>
      </c>
      <c r="I10" s="24"/>
      <c r="J10" s="24"/>
      <c r="K10" s="25" t="s">
        <v>15</v>
      </c>
      <c r="L10" s="25"/>
      <c r="M10" s="25"/>
      <c r="N10" s="25"/>
      <c r="O10" s="8"/>
      <c r="P10" s="4"/>
    </row>
    <row r="11" customFormat="false" ht="30" hidden="false" customHeight="true" outlineLevel="0" collapsed="false">
      <c r="A11" s="21" t="n">
        <v>2</v>
      </c>
      <c r="B11" s="22" t="s">
        <v>16</v>
      </c>
      <c r="C11" s="22"/>
      <c r="D11" s="22"/>
      <c r="E11" s="22"/>
      <c r="F11" s="23" t="s">
        <v>17</v>
      </c>
      <c r="G11" s="23"/>
      <c r="H11" s="24" t="s">
        <v>18</v>
      </c>
      <c r="I11" s="24"/>
      <c r="J11" s="24"/>
      <c r="K11" s="25" t="s">
        <v>19</v>
      </c>
      <c r="L11" s="25"/>
      <c r="M11" s="25"/>
      <c r="N11" s="25"/>
      <c r="O11" s="8"/>
      <c r="P11" s="4"/>
    </row>
    <row r="12" customFormat="false" ht="30" hidden="false" customHeight="true" outlineLevel="0" collapsed="false">
      <c r="A12" s="21" t="n">
        <v>3</v>
      </c>
      <c r="B12" s="22" t="s">
        <v>20</v>
      </c>
      <c r="C12" s="22"/>
      <c r="D12" s="22"/>
      <c r="E12" s="22"/>
      <c r="F12" s="23" t="s">
        <v>21</v>
      </c>
      <c r="G12" s="23"/>
      <c r="H12" s="24" t="s">
        <v>22</v>
      </c>
      <c r="I12" s="24"/>
      <c r="J12" s="24"/>
      <c r="K12" s="25" t="s">
        <v>23</v>
      </c>
      <c r="L12" s="25"/>
      <c r="M12" s="25"/>
      <c r="N12" s="25"/>
      <c r="O12" s="8"/>
      <c r="P12" s="4"/>
    </row>
    <row r="13" customFormat="false" ht="30" hidden="false" customHeight="true" outlineLevel="0" collapsed="false">
      <c r="A13" s="21" t="n">
        <v>4</v>
      </c>
      <c r="B13" s="22" t="s">
        <v>24</v>
      </c>
      <c r="C13" s="22"/>
      <c r="D13" s="22"/>
      <c r="E13" s="22"/>
      <c r="F13" s="23" t="s">
        <v>25</v>
      </c>
      <c r="G13" s="23"/>
      <c r="H13" s="24" t="s">
        <v>26</v>
      </c>
      <c r="I13" s="24"/>
      <c r="J13" s="24"/>
      <c r="K13" s="25" t="s">
        <v>27</v>
      </c>
      <c r="L13" s="25"/>
      <c r="M13" s="25"/>
      <c r="N13" s="25"/>
      <c r="O13" s="8"/>
      <c r="P13" s="4"/>
    </row>
    <row r="14" customFormat="false" ht="30" hidden="false" customHeight="true" outlineLevel="0" collapsed="false">
      <c r="A14" s="21" t="n">
        <v>5</v>
      </c>
      <c r="B14" s="22" t="s">
        <v>28</v>
      </c>
      <c r="C14" s="22"/>
      <c r="D14" s="22"/>
      <c r="E14" s="22"/>
      <c r="F14" s="23" t="s">
        <v>29</v>
      </c>
      <c r="G14" s="23"/>
      <c r="H14" s="24" t="s">
        <v>30</v>
      </c>
      <c r="I14" s="24"/>
      <c r="J14" s="24"/>
      <c r="K14" s="25" t="s">
        <v>31</v>
      </c>
      <c r="L14" s="25"/>
      <c r="M14" s="25"/>
      <c r="N14" s="25"/>
      <c r="O14" s="8"/>
      <c r="P14" s="4"/>
    </row>
    <row r="15" customFormat="false" ht="30" hidden="false" customHeight="true" outlineLevel="0" collapsed="false">
      <c r="A15" s="21" t="n">
        <v>6</v>
      </c>
      <c r="B15" s="22" t="s">
        <v>32</v>
      </c>
      <c r="C15" s="22"/>
      <c r="D15" s="22"/>
      <c r="E15" s="22"/>
      <c r="F15" s="23" t="s">
        <v>33</v>
      </c>
      <c r="G15" s="23"/>
      <c r="H15" s="24" t="s">
        <v>34</v>
      </c>
      <c r="I15" s="24"/>
      <c r="J15" s="24"/>
      <c r="K15" s="25" t="s">
        <v>35</v>
      </c>
      <c r="L15" s="25"/>
      <c r="M15" s="25"/>
      <c r="N15" s="25"/>
      <c r="O15" s="8"/>
      <c r="P15" s="4"/>
    </row>
    <row r="16" customFormat="false" ht="30" hidden="false" customHeight="true" outlineLevel="0" collapsed="false">
      <c r="A16" s="21" t="n">
        <v>7</v>
      </c>
      <c r="B16" s="22" t="s">
        <v>36</v>
      </c>
      <c r="C16" s="22"/>
      <c r="D16" s="22"/>
      <c r="E16" s="22"/>
      <c r="F16" s="23" t="s">
        <v>37</v>
      </c>
      <c r="G16" s="23"/>
      <c r="H16" s="24" t="s">
        <v>38</v>
      </c>
      <c r="I16" s="24"/>
      <c r="J16" s="24"/>
      <c r="K16" s="25" t="s">
        <v>39</v>
      </c>
      <c r="L16" s="25"/>
      <c r="M16" s="25"/>
      <c r="N16" s="25"/>
      <c r="O16" s="8"/>
      <c r="P16" s="4"/>
    </row>
    <row r="17" customFormat="false" ht="30" hidden="false" customHeight="true" outlineLevel="0" collapsed="false">
      <c r="A17" s="21" t="n">
        <v>8</v>
      </c>
      <c r="B17" s="22" t="s">
        <v>40</v>
      </c>
      <c r="C17" s="22"/>
      <c r="D17" s="22"/>
      <c r="E17" s="22"/>
      <c r="F17" s="23" t="s">
        <v>41</v>
      </c>
      <c r="G17" s="23"/>
      <c r="H17" s="24" t="s">
        <v>42</v>
      </c>
      <c r="I17" s="24"/>
      <c r="J17" s="24"/>
      <c r="K17" s="25" t="s">
        <v>43</v>
      </c>
      <c r="L17" s="25"/>
      <c r="M17" s="25"/>
      <c r="N17" s="25"/>
      <c r="O17" s="8"/>
      <c r="P17" s="4"/>
    </row>
    <row r="18" customFormat="false" ht="30" hidden="false" customHeight="true" outlineLevel="0" collapsed="false">
      <c r="A18" s="26" t="n">
        <v>9</v>
      </c>
      <c r="B18" s="27" t="s">
        <v>44</v>
      </c>
      <c r="C18" s="27"/>
      <c r="D18" s="27"/>
      <c r="E18" s="27"/>
      <c r="F18" s="28" t="s">
        <v>45</v>
      </c>
      <c r="G18" s="28"/>
      <c r="H18" s="29" t="s">
        <v>46</v>
      </c>
      <c r="I18" s="29"/>
      <c r="J18" s="29"/>
      <c r="K18" s="30" t="s">
        <v>47</v>
      </c>
      <c r="L18" s="30"/>
      <c r="M18" s="30"/>
      <c r="N18" s="30"/>
      <c r="O18" s="8"/>
      <c r="P18" s="4"/>
    </row>
    <row r="19" customFormat="false" ht="30" hidden="false" customHeight="true" outlineLevel="0" collapsed="false">
      <c r="A19" s="3"/>
      <c r="B19" s="8"/>
      <c r="C19" s="8"/>
      <c r="D19" s="8"/>
      <c r="E19" s="8"/>
      <c r="F19" s="8"/>
      <c r="G19" s="8"/>
      <c r="H19" s="8"/>
      <c r="I19" s="8"/>
      <c r="J19" s="8"/>
      <c r="K19" s="8"/>
      <c r="L19" s="8"/>
      <c r="M19" s="8"/>
      <c r="N19" s="8"/>
      <c r="O19" s="8"/>
      <c r="P19" s="4"/>
    </row>
    <row r="20" customFormat="false" ht="24.75" hidden="false" customHeight="true" outlineLevel="0" collapsed="false">
      <c r="A20" s="31"/>
      <c r="B20" s="31"/>
      <c r="C20" s="31"/>
      <c r="D20" s="31"/>
      <c r="E20" s="31"/>
      <c r="F20" s="31"/>
      <c r="G20" s="31"/>
      <c r="H20" s="31"/>
      <c r="I20" s="31"/>
      <c r="J20" s="31"/>
      <c r="K20" s="31"/>
      <c r="L20" s="31"/>
      <c r="M20" s="31"/>
      <c r="N20" s="31"/>
      <c r="O20" s="31"/>
    </row>
    <row r="21" customFormat="false" ht="24.75" hidden="false" customHeight="true" outlineLevel="0" collapsed="false">
      <c r="A21" s="31"/>
      <c r="B21" s="31"/>
      <c r="C21" s="31"/>
      <c r="D21" s="31"/>
      <c r="E21" s="31"/>
      <c r="F21" s="31"/>
      <c r="G21" s="31"/>
      <c r="H21" s="31"/>
      <c r="I21" s="31"/>
      <c r="J21" s="31"/>
      <c r="K21" s="31"/>
      <c r="L21" s="31"/>
      <c r="M21" s="31"/>
      <c r="N21" s="31"/>
      <c r="O21" s="31"/>
    </row>
    <row r="22" customFormat="false" ht="24.75" hidden="false" customHeight="true" outlineLevel="0" collapsed="false">
      <c r="A22" s="31"/>
      <c r="B22" s="31"/>
      <c r="C22" s="31"/>
      <c r="D22" s="31"/>
      <c r="E22" s="31"/>
      <c r="F22" s="31"/>
      <c r="G22" s="31"/>
      <c r="H22" s="31"/>
      <c r="I22" s="31"/>
      <c r="J22" s="31"/>
      <c r="K22" s="31"/>
      <c r="L22" s="31"/>
      <c r="M22" s="31"/>
      <c r="N22" s="31"/>
      <c r="O22" s="31"/>
    </row>
    <row r="23" customFormat="false" ht="24.75" hidden="false" customHeight="true" outlineLevel="0" collapsed="false">
      <c r="A23" s="31"/>
      <c r="B23" s="31"/>
      <c r="C23" s="31"/>
      <c r="D23" s="31"/>
      <c r="E23" s="31"/>
      <c r="F23" s="31"/>
      <c r="G23" s="31"/>
      <c r="H23" s="31"/>
      <c r="I23" s="31"/>
      <c r="J23" s="31"/>
      <c r="K23" s="31"/>
      <c r="L23" s="31"/>
      <c r="M23" s="31"/>
      <c r="N23" s="31"/>
      <c r="O23" s="31"/>
    </row>
    <row r="24" customFormat="false" ht="24.75" hidden="false" customHeight="true" outlineLevel="0" collapsed="false">
      <c r="A24" s="31"/>
      <c r="B24" s="31"/>
      <c r="C24" s="31"/>
      <c r="D24" s="31"/>
      <c r="E24" s="31"/>
      <c r="F24" s="31"/>
      <c r="G24" s="31"/>
      <c r="H24" s="31"/>
      <c r="I24" s="31"/>
      <c r="J24" s="31"/>
      <c r="K24" s="31"/>
      <c r="L24" s="31"/>
      <c r="M24" s="31"/>
      <c r="N24" s="31"/>
      <c r="O24" s="31"/>
    </row>
    <row r="25" customFormat="false" ht="24.75" hidden="false" customHeight="true" outlineLevel="0" collapsed="false">
      <c r="A25" s="31"/>
      <c r="B25" s="31"/>
      <c r="C25" s="31"/>
      <c r="D25" s="31"/>
      <c r="E25" s="31"/>
      <c r="F25" s="31"/>
      <c r="G25" s="31"/>
      <c r="H25" s="31"/>
      <c r="I25" s="31"/>
      <c r="J25" s="31"/>
      <c r="K25" s="31"/>
      <c r="L25" s="31"/>
      <c r="M25" s="31"/>
      <c r="N25" s="31"/>
      <c r="O25" s="31"/>
    </row>
    <row r="26" customFormat="false" ht="24.75" hidden="false" customHeight="true" outlineLevel="0" collapsed="false">
      <c r="A26" s="31"/>
      <c r="B26" s="31"/>
      <c r="C26" s="31"/>
      <c r="D26" s="31"/>
      <c r="E26" s="31"/>
      <c r="F26" s="31"/>
      <c r="G26" s="31"/>
      <c r="H26" s="31"/>
      <c r="I26" s="31"/>
      <c r="J26" s="31"/>
      <c r="K26" s="31"/>
      <c r="L26" s="31"/>
      <c r="M26" s="31"/>
      <c r="N26" s="31"/>
      <c r="O26" s="31"/>
      <c r="P26" s="32"/>
    </row>
    <row r="27" customFormat="false" ht="15" hidden="false" customHeight="true" outlineLevel="0" collapsed="false">
      <c r="A27" s="33"/>
      <c r="B27" s="33"/>
      <c r="C27" s="34"/>
      <c r="D27" s="34"/>
      <c r="E27" s="34"/>
      <c r="F27" s="34"/>
      <c r="G27" s="34"/>
      <c r="H27" s="34"/>
      <c r="I27" s="34"/>
      <c r="J27" s="34"/>
      <c r="K27" s="34"/>
      <c r="L27" s="34"/>
      <c r="M27" s="34"/>
      <c r="N27" s="34"/>
      <c r="O27" s="34"/>
      <c r="P27" s="34"/>
    </row>
    <row r="28" customFormat="false" ht="15" hidden="false" customHeight="true" outlineLevel="0" collapsed="false">
      <c r="A28" s="33"/>
      <c r="B28" s="33"/>
      <c r="C28" s="34"/>
      <c r="D28" s="34"/>
      <c r="E28" s="34"/>
      <c r="F28" s="34"/>
      <c r="G28" s="34"/>
      <c r="H28" s="34"/>
      <c r="I28" s="34"/>
      <c r="J28" s="34"/>
      <c r="K28" s="34"/>
      <c r="L28" s="34"/>
      <c r="M28" s="34"/>
      <c r="N28" s="34"/>
      <c r="O28" s="34"/>
      <c r="P28" s="34"/>
    </row>
    <row r="29" customFormat="false" ht="15" hidden="false" customHeight="true" outlineLevel="0" collapsed="false">
      <c r="A29" s="33"/>
      <c r="B29" s="33"/>
      <c r="C29" s="35"/>
      <c r="D29" s="35"/>
      <c r="E29" s="35"/>
      <c r="F29" s="35"/>
      <c r="G29" s="35"/>
      <c r="H29" s="35"/>
      <c r="I29" s="35"/>
      <c r="J29" s="35"/>
      <c r="K29" s="35"/>
      <c r="L29" s="35"/>
      <c r="M29" s="35"/>
      <c r="N29" s="35"/>
      <c r="O29" s="35"/>
      <c r="P29" s="35"/>
    </row>
    <row r="30" customFormat="false" ht="15" hidden="false" customHeight="true" outlineLevel="0" collapsed="false">
      <c r="A30" s="33"/>
      <c r="B30" s="33"/>
      <c r="C30" s="35"/>
      <c r="D30" s="35"/>
      <c r="E30" s="35"/>
      <c r="F30" s="35"/>
      <c r="G30" s="35"/>
      <c r="H30" s="35"/>
      <c r="I30" s="35"/>
      <c r="J30" s="35"/>
      <c r="K30" s="35"/>
      <c r="L30" s="35"/>
      <c r="M30" s="35"/>
      <c r="N30" s="35"/>
      <c r="O30" s="35"/>
      <c r="P30" s="35"/>
    </row>
    <row r="31" customFormat="false" ht="15" hidden="false" customHeight="true" outlineLevel="0" collapsed="false">
      <c r="A31" s="33"/>
      <c r="B31" s="33"/>
      <c r="C31" s="32"/>
      <c r="D31" s="32"/>
      <c r="E31" s="32"/>
      <c r="F31" s="32"/>
      <c r="G31" s="32"/>
      <c r="H31" s="32"/>
      <c r="I31" s="32"/>
      <c r="J31" s="32"/>
      <c r="K31" s="32"/>
      <c r="L31" s="32"/>
      <c r="M31" s="32"/>
      <c r="N31" s="32"/>
      <c r="O31" s="32"/>
      <c r="P31" s="32"/>
    </row>
    <row r="32" customFormat="false" ht="24.75" hidden="false" customHeight="true" outlineLevel="0" collapsed="false">
      <c r="A32" s="36"/>
      <c r="B32" s="36"/>
      <c r="C32" s="36"/>
      <c r="D32" s="36"/>
      <c r="E32" s="36"/>
      <c r="F32" s="36"/>
      <c r="G32" s="36"/>
      <c r="H32" s="36"/>
      <c r="I32" s="36"/>
      <c r="J32" s="36"/>
      <c r="K32" s="36"/>
      <c r="L32" s="32"/>
      <c r="M32" s="37"/>
      <c r="N32" s="37"/>
      <c r="O32" s="37"/>
      <c r="P32" s="32"/>
    </row>
    <row r="33" customFormat="false" ht="15" hidden="false" customHeight="true" outlineLevel="0" collapsed="false">
      <c r="A33" s="38"/>
      <c r="B33" s="39"/>
      <c r="C33" s="38"/>
      <c r="D33" s="38"/>
      <c r="E33" s="38"/>
      <c r="F33" s="38"/>
      <c r="G33" s="40"/>
      <c r="H33" s="40"/>
      <c r="I33" s="32"/>
      <c r="J33" s="32"/>
      <c r="K33" s="32"/>
      <c r="L33" s="32"/>
      <c r="M33" s="32"/>
      <c r="N33" s="32"/>
      <c r="O33" s="32"/>
      <c r="P33" s="32"/>
    </row>
    <row r="34" customFormat="false" ht="24.75" hidden="false" customHeight="true" outlineLevel="0" collapsed="false">
      <c r="A34" s="41"/>
      <c r="B34" s="42"/>
      <c r="C34" s="42"/>
      <c r="D34" s="42"/>
      <c r="E34" s="42"/>
      <c r="F34" s="42"/>
      <c r="G34" s="42"/>
      <c r="H34" s="42"/>
      <c r="I34" s="42"/>
      <c r="J34" s="42"/>
      <c r="K34" s="42"/>
      <c r="L34" s="42"/>
      <c r="M34" s="42"/>
      <c r="N34" s="42"/>
      <c r="O34" s="43"/>
      <c r="P34" s="32"/>
    </row>
    <row r="35" customFormat="false" ht="31.5" hidden="false" customHeight="true" outlineLevel="0" collapsed="false">
      <c r="A35" s="41"/>
      <c r="B35" s="42"/>
      <c r="C35" s="42"/>
      <c r="D35" s="42"/>
      <c r="E35" s="42"/>
      <c r="F35" s="42"/>
      <c r="G35" s="42"/>
      <c r="H35" s="44"/>
      <c r="I35" s="42"/>
      <c r="J35" s="44"/>
      <c r="K35" s="42"/>
      <c r="L35" s="42"/>
      <c r="M35" s="42"/>
      <c r="N35" s="42"/>
      <c r="O35" s="45"/>
      <c r="P35" s="32"/>
    </row>
    <row r="36" customFormat="false" ht="24.75" hidden="false" customHeight="true" outlineLevel="0" collapsed="false">
      <c r="A36" s="31"/>
      <c r="B36" s="31"/>
      <c r="C36" s="31"/>
      <c r="D36" s="31"/>
      <c r="E36" s="31"/>
      <c r="F36" s="31"/>
      <c r="G36" s="31"/>
      <c r="H36" s="31"/>
      <c r="I36" s="31"/>
      <c r="J36" s="31"/>
      <c r="K36" s="31"/>
      <c r="L36" s="31"/>
      <c r="M36" s="31"/>
      <c r="N36" s="31"/>
      <c r="O36" s="31"/>
      <c r="P36" s="32"/>
    </row>
    <row r="37" customFormat="false" ht="24.75" hidden="false" customHeight="true" outlineLevel="0" collapsed="false">
      <c r="A37" s="31"/>
      <c r="B37" s="31"/>
      <c r="C37" s="31"/>
      <c r="D37" s="31"/>
      <c r="E37" s="31"/>
      <c r="F37" s="31"/>
      <c r="G37" s="31"/>
      <c r="H37" s="31"/>
      <c r="I37" s="31"/>
      <c r="J37" s="31"/>
      <c r="K37" s="31"/>
      <c r="L37" s="31"/>
      <c r="M37" s="31"/>
      <c r="N37" s="31"/>
      <c r="O37" s="31"/>
      <c r="P37" s="32"/>
    </row>
    <row r="38" customFormat="false" ht="24.75" hidden="false" customHeight="true" outlineLevel="0" collapsed="false">
      <c r="A38" s="31"/>
      <c r="B38" s="31"/>
      <c r="C38" s="31"/>
      <c r="D38" s="31"/>
      <c r="E38" s="31"/>
      <c r="F38" s="31"/>
      <c r="G38" s="31"/>
      <c r="H38" s="31"/>
      <c r="I38" s="31"/>
      <c r="J38" s="31"/>
      <c r="K38" s="31"/>
      <c r="L38" s="31"/>
      <c r="M38" s="31"/>
      <c r="N38" s="31"/>
      <c r="O38" s="31"/>
      <c r="P38" s="32"/>
    </row>
    <row r="39" customFormat="false" ht="24.75" hidden="false" customHeight="true" outlineLevel="0" collapsed="false">
      <c r="A39" s="31"/>
      <c r="B39" s="31"/>
      <c r="C39" s="31"/>
      <c r="D39" s="31"/>
      <c r="E39" s="31"/>
      <c r="F39" s="31"/>
      <c r="G39" s="31"/>
      <c r="H39" s="31"/>
      <c r="I39" s="31"/>
      <c r="J39" s="31"/>
      <c r="K39" s="31"/>
      <c r="L39" s="31"/>
      <c r="M39" s="31"/>
      <c r="N39" s="31"/>
      <c r="O39" s="31"/>
      <c r="P39" s="32"/>
    </row>
    <row r="40" customFormat="false" ht="24.75" hidden="false" customHeight="true" outlineLevel="0" collapsed="false">
      <c r="A40" s="31"/>
      <c r="B40" s="31"/>
      <c r="C40" s="31"/>
      <c r="D40" s="31"/>
      <c r="E40" s="31"/>
      <c r="F40" s="31"/>
      <c r="G40" s="31"/>
      <c r="H40" s="31"/>
      <c r="I40" s="31"/>
      <c r="J40" s="31"/>
      <c r="K40" s="31"/>
      <c r="L40" s="31"/>
      <c r="M40" s="31"/>
      <c r="N40" s="31"/>
      <c r="O40" s="31"/>
      <c r="P40" s="32"/>
    </row>
    <row r="41" customFormat="false" ht="24.75" hidden="false" customHeight="true" outlineLevel="0" collapsed="false">
      <c r="A41" s="31"/>
      <c r="B41" s="31"/>
      <c r="C41" s="31"/>
      <c r="D41" s="31"/>
      <c r="E41" s="31"/>
      <c r="F41" s="31"/>
      <c r="G41" s="31"/>
      <c r="H41" s="31"/>
      <c r="I41" s="31"/>
      <c r="J41" s="31"/>
      <c r="K41" s="31"/>
      <c r="L41" s="31"/>
      <c r="M41" s="31"/>
      <c r="N41" s="31"/>
      <c r="O41" s="31"/>
      <c r="P41" s="32"/>
    </row>
    <row r="42" customFormat="false" ht="24.75" hidden="false" customHeight="true" outlineLevel="0" collapsed="false">
      <c r="A42" s="31"/>
      <c r="B42" s="31"/>
      <c r="C42" s="31"/>
      <c r="D42" s="31"/>
      <c r="E42" s="31"/>
      <c r="F42" s="31"/>
      <c r="G42" s="31"/>
      <c r="H42" s="31"/>
      <c r="I42" s="31"/>
      <c r="J42" s="31"/>
      <c r="K42" s="31"/>
      <c r="L42" s="31"/>
      <c r="M42" s="31"/>
      <c r="N42" s="31"/>
      <c r="O42" s="31"/>
      <c r="P42" s="32"/>
    </row>
    <row r="43" customFormat="false" ht="24.75" hidden="false" customHeight="true" outlineLevel="0" collapsed="false">
      <c r="A43" s="31"/>
      <c r="B43" s="31"/>
      <c r="C43" s="31"/>
      <c r="D43" s="31"/>
      <c r="E43" s="31"/>
      <c r="F43" s="31"/>
      <c r="G43" s="31"/>
      <c r="H43" s="31"/>
      <c r="I43" s="31"/>
      <c r="J43" s="31"/>
      <c r="K43" s="31"/>
      <c r="L43" s="31"/>
      <c r="M43" s="31"/>
      <c r="N43" s="31"/>
      <c r="O43" s="31"/>
      <c r="P43" s="32"/>
    </row>
    <row r="44" customFormat="false" ht="24.75" hidden="false" customHeight="true" outlineLevel="0" collapsed="false">
      <c r="A44" s="31"/>
      <c r="B44" s="31"/>
      <c r="C44" s="31"/>
      <c r="D44" s="31"/>
      <c r="E44" s="31"/>
      <c r="F44" s="31"/>
      <c r="G44" s="31"/>
      <c r="H44" s="31"/>
      <c r="I44" s="31"/>
      <c r="J44" s="31"/>
      <c r="K44" s="31"/>
      <c r="L44" s="31"/>
      <c r="M44" s="31"/>
      <c r="N44" s="31"/>
      <c r="O44" s="31"/>
      <c r="P44" s="32"/>
    </row>
    <row r="45" customFormat="false" ht="24.75" hidden="false" customHeight="true" outlineLevel="0" collapsed="false">
      <c r="A45" s="31"/>
      <c r="B45" s="31"/>
      <c r="C45" s="31"/>
      <c r="D45" s="31"/>
      <c r="E45" s="31"/>
      <c r="F45" s="31"/>
      <c r="G45" s="31"/>
      <c r="H45" s="31"/>
      <c r="I45" s="31"/>
      <c r="J45" s="31"/>
      <c r="K45" s="31"/>
      <c r="L45" s="31"/>
      <c r="M45" s="31"/>
      <c r="N45" s="31"/>
      <c r="O45" s="31"/>
      <c r="P45" s="32"/>
    </row>
    <row r="46" customFormat="false" ht="24.75" hidden="false" customHeight="true" outlineLevel="0" collapsed="false">
      <c r="A46" s="31"/>
      <c r="B46" s="31"/>
      <c r="C46" s="31"/>
      <c r="D46" s="31"/>
      <c r="E46" s="31"/>
      <c r="F46" s="31"/>
      <c r="G46" s="31"/>
      <c r="H46" s="31"/>
      <c r="I46" s="31"/>
      <c r="J46" s="31"/>
      <c r="K46" s="31"/>
      <c r="L46" s="31"/>
      <c r="M46" s="31"/>
      <c r="N46" s="31"/>
      <c r="O46" s="31"/>
      <c r="P46" s="32"/>
    </row>
    <row r="47" customFormat="false" ht="24.75" hidden="false" customHeight="true" outlineLevel="0" collapsed="false">
      <c r="A47" s="31"/>
      <c r="B47" s="31"/>
      <c r="C47" s="31"/>
      <c r="D47" s="31"/>
      <c r="E47" s="31"/>
      <c r="F47" s="31"/>
      <c r="G47" s="31"/>
      <c r="H47" s="31"/>
      <c r="I47" s="31"/>
      <c r="J47" s="31"/>
      <c r="K47" s="31"/>
      <c r="L47" s="31"/>
      <c r="M47" s="31"/>
      <c r="N47" s="31"/>
      <c r="O47" s="31"/>
      <c r="P47" s="32"/>
    </row>
    <row r="48" customFormat="false" ht="24.75" hidden="false" customHeight="true" outlineLevel="0" collapsed="false">
      <c r="A48" s="31"/>
      <c r="B48" s="31"/>
      <c r="C48" s="31"/>
      <c r="D48" s="31"/>
      <c r="E48" s="31"/>
      <c r="F48" s="31"/>
      <c r="G48" s="31"/>
      <c r="H48" s="31"/>
      <c r="I48" s="31"/>
      <c r="J48" s="31"/>
      <c r="K48" s="31"/>
      <c r="L48" s="31"/>
      <c r="M48" s="31"/>
      <c r="N48" s="31"/>
      <c r="O48" s="31"/>
      <c r="P48" s="32"/>
    </row>
    <row r="49" customFormat="false" ht="24.75" hidden="false" customHeight="true" outlineLevel="0" collapsed="false">
      <c r="A49" s="31"/>
      <c r="B49" s="31"/>
      <c r="C49" s="31"/>
      <c r="D49" s="31"/>
      <c r="E49" s="31"/>
      <c r="F49" s="31"/>
      <c r="G49" s="31"/>
      <c r="H49" s="31"/>
      <c r="I49" s="31"/>
      <c r="J49" s="31"/>
      <c r="K49" s="31"/>
      <c r="L49" s="31"/>
      <c r="M49" s="31"/>
      <c r="N49" s="31"/>
      <c r="O49" s="31"/>
      <c r="P49" s="32"/>
    </row>
    <row r="50" customFormat="false" ht="15" hidden="false" customHeight="false" outlineLevel="0" collapsed="false">
      <c r="A50" s="32"/>
      <c r="B50" s="32"/>
      <c r="C50" s="32"/>
      <c r="D50" s="32"/>
      <c r="E50" s="32"/>
      <c r="F50" s="32"/>
      <c r="G50" s="32"/>
      <c r="H50" s="32"/>
      <c r="I50" s="32"/>
      <c r="J50" s="32"/>
      <c r="K50" s="32"/>
      <c r="L50" s="32"/>
      <c r="M50" s="32"/>
      <c r="N50" s="32"/>
      <c r="O50" s="32"/>
      <c r="P50" s="32"/>
    </row>
    <row r="51" customFormat="false" ht="15" hidden="false" customHeight="false" outlineLevel="0" collapsed="false">
      <c r="A51" s="46"/>
      <c r="B51" s="46"/>
      <c r="C51" s="46"/>
      <c r="D51" s="46"/>
      <c r="E51" s="46"/>
      <c r="F51" s="46"/>
      <c r="G51" s="46"/>
      <c r="H51" s="47"/>
      <c r="I51" s="47"/>
      <c r="J51" s="40"/>
      <c r="K51" s="40"/>
      <c r="L51" s="40"/>
      <c r="M51" s="40"/>
      <c r="N51" s="32"/>
      <c r="O51" s="32"/>
      <c r="P51" s="32"/>
    </row>
    <row r="52" customFormat="false" ht="15" hidden="false" customHeight="false" outlineLevel="0" collapsed="false">
      <c r="A52" s="32"/>
      <c r="B52" s="32"/>
      <c r="C52" s="32"/>
      <c r="D52" s="32"/>
      <c r="E52" s="32"/>
      <c r="F52" s="32"/>
      <c r="G52" s="32"/>
      <c r="H52" s="32"/>
      <c r="I52" s="32"/>
      <c r="J52" s="32"/>
      <c r="K52" s="32"/>
      <c r="L52" s="32"/>
      <c r="M52" s="32"/>
      <c r="N52" s="32"/>
      <c r="O52" s="32"/>
      <c r="P52" s="32"/>
    </row>
  </sheetData>
  <mergeCells count="132">
    <mergeCell ref="A1:B5"/>
    <mergeCell ref="C1:P2"/>
    <mergeCell ref="C3:P4"/>
    <mergeCell ref="A6:C6"/>
    <mergeCell ref="E6:G6"/>
    <mergeCell ref="H6:L6"/>
    <mergeCell ref="M6:O6"/>
    <mergeCell ref="A8:A9"/>
    <mergeCell ref="B8:E9"/>
    <mergeCell ref="F8:G8"/>
    <mergeCell ref="H8:J8"/>
    <mergeCell ref="K8:N8"/>
    <mergeCell ref="F9:G9"/>
    <mergeCell ref="H9:J9"/>
    <mergeCell ref="K9:N9"/>
    <mergeCell ref="B10:E10"/>
    <mergeCell ref="F10:G10"/>
    <mergeCell ref="H10:J10"/>
    <mergeCell ref="K10:N10"/>
    <mergeCell ref="B11:E11"/>
    <mergeCell ref="F11:G11"/>
    <mergeCell ref="H11:J11"/>
    <mergeCell ref="K11:N11"/>
    <mergeCell ref="B12:E12"/>
    <mergeCell ref="F12:G12"/>
    <mergeCell ref="H12:J12"/>
    <mergeCell ref="K12:N12"/>
    <mergeCell ref="B13:E13"/>
    <mergeCell ref="F13:G13"/>
    <mergeCell ref="H13:J13"/>
    <mergeCell ref="K13:N13"/>
    <mergeCell ref="B14:E14"/>
    <mergeCell ref="F14:G14"/>
    <mergeCell ref="H14:J14"/>
    <mergeCell ref="K14:N14"/>
    <mergeCell ref="B15:E15"/>
    <mergeCell ref="F15:G15"/>
    <mergeCell ref="H15:J15"/>
    <mergeCell ref="K15:N15"/>
    <mergeCell ref="B16:E16"/>
    <mergeCell ref="F16:G16"/>
    <mergeCell ref="H16:J16"/>
    <mergeCell ref="K16:N16"/>
    <mergeCell ref="B17:E17"/>
    <mergeCell ref="F17:G17"/>
    <mergeCell ref="H17:J17"/>
    <mergeCell ref="K17:N17"/>
    <mergeCell ref="B18:E18"/>
    <mergeCell ref="F18:G18"/>
    <mergeCell ref="H18:J18"/>
    <mergeCell ref="K18:N18"/>
    <mergeCell ref="B19:E19"/>
    <mergeCell ref="F19:G19"/>
    <mergeCell ref="H19:J19"/>
    <mergeCell ref="K19:N19"/>
    <mergeCell ref="B20:E20"/>
    <mergeCell ref="F20:G20"/>
    <mergeCell ref="K20:N20"/>
    <mergeCell ref="B21:E21"/>
    <mergeCell ref="F21:G21"/>
    <mergeCell ref="K21:N21"/>
    <mergeCell ref="B22:E22"/>
    <mergeCell ref="F22:G22"/>
    <mergeCell ref="K22:N22"/>
    <mergeCell ref="B23:E23"/>
    <mergeCell ref="F23:G23"/>
    <mergeCell ref="K23:N23"/>
    <mergeCell ref="B24:E24"/>
    <mergeCell ref="F24:G24"/>
    <mergeCell ref="K24:N24"/>
    <mergeCell ref="B25:E25"/>
    <mergeCell ref="F25:G25"/>
    <mergeCell ref="K25:N25"/>
    <mergeCell ref="B26:E26"/>
    <mergeCell ref="F26:G26"/>
    <mergeCell ref="A27:B31"/>
    <mergeCell ref="C27:P28"/>
    <mergeCell ref="C29:P30"/>
    <mergeCell ref="A32:C32"/>
    <mergeCell ref="E32:G32"/>
    <mergeCell ref="H32:K32"/>
    <mergeCell ref="M32:O32"/>
    <mergeCell ref="A34:A35"/>
    <mergeCell ref="B34:E35"/>
    <mergeCell ref="F34:G35"/>
    <mergeCell ref="H34:J34"/>
    <mergeCell ref="K34:N35"/>
    <mergeCell ref="B36:E36"/>
    <mergeCell ref="F36:G36"/>
    <mergeCell ref="K36:N36"/>
    <mergeCell ref="B37:E37"/>
    <mergeCell ref="F37:G37"/>
    <mergeCell ref="K37:N37"/>
    <mergeCell ref="B38:E38"/>
    <mergeCell ref="F38:G38"/>
    <mergeCell ref="K38:N38"/>
    <mergeCell ref="B39:E39"/>
    <mergeCell ref="F39:G39"/>
    <mergeCell ref="K39:N39"/>
    <mergeCell ref="B40:E40"/>
    <mergeCell ref="F40:G40"/>
    <mergeCell ref="K40:N40"/>
    <mergeCell ref="B41:E41"/>
    <mergeCell ref="F41:G41"/>
    <mergeCell ref="K41:N41"/>
    <mergeCell ref="B42:E42"/>
    <mergeCell ref="F42:G42"/>
    <mergeCell ref="K42:N42"/>
    <mergeCell ref="B43:E43"/>
    <mergeCell ref="F43:G43"/>
    <mergeCell ref="K43:N43"/>
    <mergeCell ref="B44:E44"/>
    <mergeCell ref="F44:G44"/>
    <mergeCell ref="K44:N44"/>
    <mergeCell ref="B45:E45"/>
    <mergeCell ref="F45:G45"/>
    <mergeCell ref="K45:N45"/>
    <mergeCell ref="B46:E46"/>
    <mergeCell ref="F46:G46"/>
    <mergeCell ref="K46:N46"/>
    <mergeCell ref="B47:E47"/>
    <mergeCell ref="F47:G47"/>
    <mergeCell ref="K47:N47"/>
    <mergeCell ref="B48:E48"/>
    <mergeCell ref="F48:G48"/>
    <mergeCell ref="K48:N48"/>
    <mergeCell ref="B49:E49"/>
    <mergeCell ref="F49:G49"/>
    <mergeCell ref="K49:N49"/>
    <mergeCell ref="A51:D51"/>
    <mergeCell ref="E51:G51"/>
    <mergeCell ref="J51:M51"/>
  </mergeCells>
  <printOptions headings="false" gridLines="false" gridLinesSet="true" horizontalCentered="true" verticalCentered="true"/>
  <pageMargins left="0.0395833333333333" right="0.0395833333333333" top="0.196527777777778" bottom="0"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9"/>
  <sheetViews>
    <sheetView showFormulas="false" showGridLines="true" showRowColHeaders="true" showZeros="true" rightToLeft="false" tabSelected="false" showOutlineSymbols="true" defaultGridColor="true" view="normal" topLeftCell="A87" colorId="64" zoomScale="80" zoomScaleNormal="80" zoomScalePageLayoutView="100" workbookViewId="0">
      <selection pane="topLeft" activeCell="L97" activeCellId="0" sqref="L97"/>
    </sheetView>
  </sheetViews>
  <sheetFormatPr defaultColWidth="8.54296875" defaultRowHeight="15" customHeight="false" zeroHeight="false" outlineLevelRow="0" outlineLevelCol="0"/>
  <cols>
    <col collapsed="false" customWidth="true" hidden="false" outlineLevel="0" max="19" min="1" style="0" width="11.71"/>
  </cols>
  <sheetData>
    <row r="1" customFormat="false" ht="15" hidden="false" customHeight="true" outlineLevel="0" collapsed="false">
      <c r="A1" s="13" t="s">
        <v>48</v>
      </c>
      <c r="B1" s="13"/>
      <c r="C1" s="13"/>
      <c r="D1" s="13"/>
      <c r="E1" s="13"/>
      <c r="F1" s="13"/>
      <c r="G1" s="13"/>
      <c r="H1" s="13"/>
      <c r="I1" s="13"/>
      <c r="J1" s="13"/>
      <c r="K1" s="13"/>
      <c r="L1" s="13"/>
      <c r="M1" s="13"/>
      <c r="N1" s="13"/>
      <c r="O1" s="13"/>
      <c r="P1" s="13"/>
      <c r="Q1" s="13"/>
      <c r="R1" s="13"/>
      <c r="S1" s="13"/>
    </row>
    <row r="2" customFormat="false" ht="15.75" hidden="false" customHeight="true" outlineLevel="0" collapsed="false">
      <c r="A2" s="13"/>
      <c r="B2" s="13"/>
      <c r="C2" s="13"/>
      <c r="D2" s="13"/>
      <c r="E2" s="13"/>
      <c r="F2" s="13"/>
      <c r="G2" s="13"/>
      <c r="H2" s="13"/>
      <c r="I2" s="13"/>
      <c r="J2" s="13"/>
      <c r="K2" s="13"/>
      <c r="L2" s="13"/>
      <c r="M2" s="13"/>
      <c r="N2" s="13"/>
      <c r="O2" s="13"/>
      <c r="P2" s="13"/>
      <c r="Q2" s="13"/>
      <c r="R2" s="13"/>
      <c r="S2" s="13"/>
    </row>
    <row r="3" customFormat="false" ht="15" hidden="false" customHeight="true" outlineLevel="0" collapsed="false">
      <c r="A3" s="48" t="s">
        <v>49</v>
      </c>
      <c r="B3" s="49" t="s">
        <v>50</v>
      </c>
      <c r="C3" s="49"/>
      <c r="D3" s="49" t="s">
        <v>50</v>
      </c>
      <c r="E3" s="49"/>
      <c r="F3" s="49" t="s">
        <v>50</v>
      </c>
      <c r="G3" s="49"/>
      <c r="H3" s="49" t="s">
        <v>50</v>
      </c>
      <c r="I3" s="49"/>
      <c r="J3" s="49" t="s">
        <v>50</v>
      </c>
      <c r="K3" s="49"/>
      <c r="L3" s="49" t="s">
        <v>50</v>
      </c>
      <c r="M3" s="49"/>
      <c r="N3" s="49" t="s">
        <v>50</v>
      </c>
      <c r="O3" s="49"/>
      <c r="P3" s="50" t="s">
        <v>50</v>
      </c>
      <c r="Q3" s="50"/>
      <c r="R3" s="51" t="s">
        <v>50</v>
      </c>
      <c r="S3" s="51"/>
    </row>
    <row r="4" customFormat="false" ht="19.5" hidden="false" customHeight="true" outlineLevel="0" collapsed="false">
      <c r="A4" s="48"/>
      <c r="B4" s="52" t="str">
        <f aca="false">TABELA!F10</f>
        <v>MILJAN ANĐIĆ</v>
      </c>
      <c r="C4" s="52"/>
      <c r="D4" s="52" t="str">
        <f aca="false">TABELA!F11</f>
        <v>ARSO JEREMIĆ</v>
      </c>
      <c r="E4" s="52"/>
      <c r="F4" s="52" t="str">
        <f aca="false">TABELA!F12</f>
        <v>NIKOLA ĐALOVIĆ</v>
      </c>
      <c r="G4" s="52"/>
      <c r="H4" s="52" t="str">
        <f aca="false">TABELA!F13</f>
        <v>SAVO RAIČEVIĆ</v>
      </c>
      <c r="I4" s="52"/>
      <c r="J4" s="52" t="str">
        <f aca="false">TABELA!F14</f>
        <v>RADOVAN KRKOVIĆ</v>
      </c>
      <c r="K4" s="52"/>
      <c r="L4" s="52" t="str">
        <f aca="false">TABELA!F15</f>
        <v>ALEKSANDAR GAŠEVIĆ</v>
      </c>
      <c r="M4" s="52"/>
      <c r="N4" s="52" t="str">
        <f aca="false">TABELA!F16</f>
        <v>MILUN ĐUROVIĆ</v>
      </c>
      <c r="O4" s="52"/>
      <c r="P4" s="53" t="str">
        <f aca="false">TABELA!F17</f>
        <v>KEMAL AJANOVIĆ</v>
      </c>
      <c r="Q4" s="53"/>
      <c r="R4" s="54" t="str">
        <f aca="false">TABELA!F18</f>
        <v>DAMIR CANOVIĆ</v>
      </c>
      <c r="S4" s="54"/>
    </row>
    <row r="5" customFormat="false" ht="15" hidden="false" customHeight="false" outlineLevel="0" collapsed="false">
      <c r="A5" s="48"/>
      <c r="B5" s="49" t="s">
        <v>51</v>
      </c>
      <c r="C5" s="49" t="s">
        <v>52</v>
      </c>
      <c r="D5" s="49" t="s">
        <v>51</v>
      </c>
      <c r="E5" s="49" t="s">
        <v>52</v>
      </c>
      <c r="F5" s="49" t="s">
        <v>51</v>
      </c>
      <c r="G5" s="49" t="s">
        <v>52</v>
      </c>
      <c r="H5" s="49" t="s">
        <v>51</v>
      </c>
      <c r="I5" s="49" t="s">
        <v>52</v>
      </c>
      <c r="J5" s="49" t="s">
        <v>51</v>
      </c>
      <c r="K5" s="49" t="s">
        <v>52</v>
      </c>
      <c r="L5" s="49" t="s">
        <v>51</v>
      </c>
      <c r="M5" s="49" t="s">
        <v>52</v>
      </c>
      <c r="N5" s="49" t="s">
        <v>51</v>
      </c>
      <c r="O5" s="49" t="s">
        <v>52</v>
      </c>
      <c r="P5" s="49" t="s">
        <v>51</v>
      </c>
      <c r="Q5" s="50" t="s">
        <v>52</v>
      </c>
      <c r="R5" s="49" t="s">
        <v>51</v>
      </c>
      <c r="S5" s="51" t="s">
        <v>52</v>
      </c>
    </row>
    <row r="6" customFormat="false" ht="15" hidden="false" customHeight="false" outlineLevel="0" collapsed="false">
      <c r="A6" s="55" t="n">
        <v>1</v>
      </c>
      <c r="B6" s="49"/>
      <c r="C6" s="49" t="n">
        <f aca="false">IF(B6,B6*20+100,0)</f>
        <v>0</v>
      </c>
      <c r="D6" s="49" t="n">
        <v>24</v>
      </c>
      <c r="E6" s="49" t="n">
        <f aca="false">IF(D6,D6*20+100,0)</f>
        <v>580</v>
      </c>
      <c r="F6" s="49" t="n">
        <v>28</v>
      </c>
      <c r="G6" s="49" t="n">
        <f aca="false">IF(F6,F6*20+100,0)</f>
        <v>660</v>
      </c>
      <c r="H6" s="49" t="n">
        <v>27</v>
      </c>
      <c r="I6" s="49" t="n">
        <f aca="false">IF(H6,H6*20+100,0)</f>
        <v>640</v>
      </c>
      <c r="J6" s="49" t="n">
        <v>30</v>
      </c>
      <c r="K6" s="49" t="n">
        <f aca="false">IF(J6,J6*20+100,0)</f>
        <v>700</v>
      </c>
      <c r="L6" s="49" t="n">
        <v>31</v>
      </c>
      <c r="M6" s="49" t="n">
        <f aca="false">IF(L6,L6*20+100,0)</f>
        <v>720</v>
      </c>
      <c r="N6" s="49" t="n">
        <v>36</v>
      </c>
      <c r="O6" s="49" t="n">
        <f aca="false">IF(N6,N6*20+100,0)</f>
        <v>820</v>
      </c>
      <c r="P6" s="49" t="n">
        <v>34</v>
      </c>
      <c r="Q6" s="50" t="n">
        <f aca="false">IF(P6,P6*20+100,0)</f>
        <v>780</v>
      </c>
      <c r="R6" s="49"/>
      <c r="S6" s="51" t="n">
        <f aca="false">IF(R6,R6*20+100,0)</f>
        <v>0</v>
      </c>
    </row>
    <row r="7" customFormat="false" ht="15" hidden="false" customHeight="false" outlineLevel="0" collapsed="false">
      <c r="A7" s="55" t="n">
        <v>2</v>
      </c>
      <c r="B7" s="49"/>
      <c r="C7" s="49" t="n">
        <f aca="false">IF(B7,B7*20+100,0)</f>
        <v>0</v>
      </c>
      <c r="D7" s="49" t="n">
        <v>34</v>
      </c>
      <c r="E7" s="49" t="n">
        <f aca="false">IF(D7,D7*20+100,0)</f>
        <v>780</v>
      </c>
      <c r="F7" s="49"/>
      <c r="G7" s="49" t="n">
        <f aca="false">IF(F7,F7*20+100,0)</f>
        <v>0</v>
      </c>
      <c r="H7" s="49"/>
      <c r="I7" s="49" t="n">
        <f aca="false">IF(H7,H7*20+100,0)</f>
        <v>0</v>
      </c>
      <c r="J7" s="49" t="n">
        <v>27</v>
      </c>
      <c r="K7" s="49" t="n">
        <f aca="false">IF(J7,J7*20+100,0)</f>
        <v>640</v>
      </c>
      <c r="L7" s="49" t="n">
        <v>28</v>
      </c>
      <c r="M7" s="49" t="n">
        <f aca="false">IF(L7,L7*20+100,0)</f>
        <v>660</v>
      </c>
      <c r="N7" s="49"/>
      <c r="O7" s="49" t="n">
        <f aca="false">IF(N7,N7*20+100,0)</f>
        <v>0</v>
      </c>
      <c r="P7" s="49"/>
      <c r="Q7" s="50" t="n">
        <f aca="false">IF(P7,P7*20+100,0)</f>
        <v>0</v>
      </c>
      <c r="R7" s="49"/>
      <c r="S7" s="51" t="n">
        <f aca="false">IF(R7,R7*20+100,0)</f>
        <v>0</v>
      </c>
    </row>
    <row r="8" customFormat="false" ht="15" hidden="false" customHeight="false" outlineLevel="0" collapsed="false">
      <c r="A8" s="55" t="n">
        <v>3</v>
      </c>
      <c r="B8" s="49"/>
      <c r="C8" s="49" t="n">
        <f aca="false">IF(B8,B8*20+100,0)</f>
        <v>0</v>
      </c>
      <c r="D8" s="49"/>
      <c r="E8" s="49" t="n">
        <f aca="false">IF(D8,D8*20+100,0)</f>
        <v>0</v>
      </c>
      <c r="F8" s="49"/>
      <c r="G8" s="49" t="n">
        <f aca="false">IF(F8,F8*20+100,0)</f>
        <v>0</v>
      </c>
      <c r="H8" s="49"/>
      <c r="I8" s="49" t="n">
        <f aca="false">IF(H8,H8*20+100,0)</f>
        <v>0</v>
      </c>
      <c r="J8" s="49" t="n">
        <v>29</v>
      </c>
      <c r="K8" s="49" t="n">
        <f aca="false">IF(J8,J8*20+100,0)</f>
        <v>680</v>
      </c>
      <c r="L8" s="49" t="n">
        <v>38</v>
      </c>
      <c r="M8" s="49" t="n">
        <f aca="false">IF(L8,L8*20+100,0)</f>
        <v>860</v>
      </c>
      <c r="N8" s="49"/>
      <c r="O8" s="49" t="n">
        <f aca="false">IF(N8,N8*20+100,0)</f>
        <v>0</v>
      </c>
      <c r="P8" s="49"/>
      <c r="Q8" s="50" t="n">
        <f aca="false">IF(P8,P8*20+100,0)</f>
        <v>0</v>
      </c>
      <c r="R8" s="49"/>
      <c r="S8" s="51" t="n">
        <f aca="false">IF(R8,R8*20+100,0)</f>
        <v>0</v>
      </c>
    </row>
    <row r="9" customFormat="false" ht="15" hidden="false" customHeight="false" outlineLevel="0" collapsed="false">
      <c r="A9" s="55" t="n">
        <v>4</v>
      </c>
      <c r="B9" s="49"/>
      <c r="C9" s="49" t="n">
        <f aca="false">IF(B9,B9*20+100,0)</f>
        <v>0</v>
      </c>
      <c r="D9" s="49"/>
      <c r="E9" s="49" t="n">
        <f aca="false">IF(D9,D9*20+100,0)</f>
        <v>0</v>
      </c>
      <c r="F9" s="49"/>
      <c r="G9" s="49" t="n">
        <f aca="false">IF(F9,F9*20+100,0)</f>
        <v>0</v>
      </c>
      <c r="H9" s="49"/>
      <c r="I9" s="49" t="n">
        <f aca="false">IF(H9,H9*20+100,0)</f>
        <v>0</v>
      </c>
      <c r="J9" s="49"/>
      <c r="K9" s="49" t="n">
        <f aca="false">IF(J9,J9*20+100,0)</f>
        <v>0</v>
      </c>
      <c r="L9" s="49" t="n">
        <v>46</v>
      </c>
      <c r="M9" s="49" t="n">
        <f aca="false">IF(L9,L9*20+100,0)</f>
        <v>1020</v>
      </c>
      <c r="N9" s="49"/>
      <c r="O9" s="49" t="n">
        <f aca="false">IF(N9,N9*20+100,0)</f>
        <v>0</v>
      </c>
      <c r="P9" s="49"/>
      <c r="Q9" s="50" t="n">
        <f aca="false">IF(P9,P9*20+100,0)</f>
        <v>0</v>
      </c>
      <c r="R9" s="49"/>
      <c r="S9" s="51" t="n">
        <f aca="false">IF(R9,R9*20+100,0)</f>
        <v>0</v>
      </c>
    </row>
    <row r="10" customFormat="false" ht="15" hidden="false" customHeight="false" outlineLevel="0" collapsed="false">
      <c r="A10" s="55" t="n">
        <v>5</v>
      </c>
      <c r="B10" s="49"/>
      <c r="C10" s="49" t="n">
        <f aca="false">IF(B10,B10*20+100,0)</f>
        <v>0</v>
      </c>
      <c r="D10" s="49"/>
      <c r="E10" s="49" t="n">
        <f aca="false">IF(D10,D10*20+100,0)</f>
        <v>0</v>
      </c>
      <c r="F10" s="49"/>
      <c r="G10" s="49" t="n">
        <f aca="false">IF(F10,F10*20+100,0)</f>
        <v>0</v>
      </c>
      <c r="H10" s="49"/>
      <c r="I10" s="49" t="n">
        <f aca="false">IF(H10,H10*20+100,0)</f>
        <v>0</v>
      </c>
      <c r="J10" s="49"/>
      <c r="K10" s="49" t="n">
        <f aca="false">IF(J10,J10*20+100,0)</f>
        <v>0</v>
      </c>
      <c r="L10" s="49"/>
      <c r="M10" s="49" t="n">
        <f aca="false">IF(L10,L10*20+100,0)</f>
        <v>0</v>
      </c>
      <c r="N10" s="49"/>
      <c r="O10" s="49" t="n">
        <f aca="false">IF(N10,N10*20+100,0)</f>
        <v>0</v>
      </c>
      <c r="P10" s="49"/>
      <c r="Q10" s="50" t="n">
        <f aca="false">IF(P10,P10*20+100,0)</f>
        <v>0</v>
      </c>
      <c r="R10" s="49"/>
      <c r="S10" s="51" t="n">
        <f aca="false">IF(R10,R10*20+100,0)</f>
        <v>0</v>
      </c>
    </row>
    <row r="11" customFormat="false" ht="15" hidden="false" customHeight="false" outlineLevel="0" collapsed="false">
      <c r="A11" s="55" t="n">
        <v>6</v>
      </c>
      <c r="B11" s="49"/>
      <c r="C11" s="49" t="n">
        <f aca="false">IF(B11,B11*20+100,0)</f>
        <v>0</v>
      </c>
      <c r="D11" s="49"/>
      <c r="E11" s="49" t="n">
        <f aca="false">IF(D11,D11*20+100,0)</f>
        <v>0</v>
      </c>
      <c r="F11" s="49"/>
      <c r="G11" s="49" t="n">
        <f aca="false">IF(F11,F11*20+100,0)</f>
        <v>0</v>
      </c>
      <c r="H11" s="49"/>
      <c r="I11" s="49" t="n">
        <f aca="false">IF(H11,H11*20+100,0)</f>
        <v>0</v>
      </c>
      <c r="J11" s="49"/>
      <c r="K11" s="49" t="n">
        <f aca="false">IF(J11,J11*20+100,0)</f>
        <v>0</v>
      </c>
      <c r="L11" s="49"/>
      <c r="M11" s="49" t="n">
        <f aca="false">IF(L11,L11*20+100,0)</f>
        <v>0</v>
      </c>
      <c r="N11" s="49"/>
      <c r="O11" s="49" t="n">
        <f aca="false">IF(N11,N11*20+100,0)</f>
        <v>0</v>
      </c>
      <c r="P11" s="49"/>
      <c r="Q11" s="50" t="n">
        <f aca="false">IF(P11,P11*20+100,0)</f>
        <v>0</v>
      </c>
      <c r="R11" s="49"/>
      <c r="S11" s="51" t="n">
        <f aca="false">IF(R11,R11*20+100,0)</f>
        <v>0</v>
      </c>
    </row>
    <row r="12" customFormat="false" ht="15" hidden="false" customHeight="false" outlineLevel="0" collapsed="false">
      <c r="A12" s="55" t="n">
        <v>7</v>
      </c>
      <c r="B12" s="49"/>
      <c r="C12" s="49" t="n">
        <f aca="false">IF(B12,B12*20+100,0)</f>
        <v>0</v>
      </c>
      <c r="D12" s="49"/>
      <c r="E12" s="49" t="n">
        <f aca="false">IF(D12,D12*20+100,0)</f>
        <v>0</v>
      </c>
      <c r="F12" s="49"/>
      <c r="G12" s="49" t="n">
        <f aca="false">IF(F12,F12*20+100,0)</f>
        <v>0</v>
      </c>
      <c r="H12" s="49"/>
      <c r="I12" s="49" t="n">
        <f aca="false">IF(H12,H12*20+100,0)</f>
        <v>0</v>
      </c>
      <c r="J12" s="49"/>
      <c r="K12" s="49" t="n">
        <f aca="false">IF(J12,J12*20+100,0)</f>
        <v>0</v>
      </c>
      <c r="L12" s="49"/>
      <c r="M12" s="49" t="n">
        <f aca="false">IF(L12,L12*20+100,0)</f>
        <v>0</v>
      </c>
      <c r="N12" s="49"/>
      <c r="O12" s="49" t="n">
        <f aca="false">IF(N12,N12*20+100,0)</f>
        <v>0</v>
      </c>
      <c r="P12" s="49"/>
      <c r="Q12" s="50" t="n">
        <f aca="false">IF(P12,P12*20+100,0)</f>
        <v>0</v>
      </c>
      <c r="R12" s="49"/>
      <c r="S12" s="51" t="n">
        <f aca="false">IF(R12,R12*20+100,0)</f>
        <v>0</v>
      </c>
    </row>
    <row r="13" customFormat="false" ht="15" hidden="false" customHeight="false" outlineLevel="0" collapsed="false">
      <c r="A13" s="55" t="n">
        <v>8</v>
      </c>
      <c r="B13" s="49"/>
      <c r="C13" s="49" t="n">
        <f aca="false">IF(B13,B13*20+100,0)</f>
        <v>0</v>
      </c>
      <c r="D13" s="49"/>
      <c r="E13" s="49" t="n">
        <f aca="false">IF(D13,D13*20+100,0)</f>
        <v>0</v>
      </c>
      <c r="F13" s="49"/>
      <c r="G13" s="49" t="n">
        <f aca="false">IF(F13,F13*20+100,0)</f>
        <v>0</v>
      </c>
      <c r="H13" s="49"/>
      <c r="I13" s="49" t="n">
        <f aca="false">IF(H13,H13*20+100,0)</f>
        <v>0</v>
      </c>
      <c r="J13" s="49"/>
      <c r="K13" s="49" t="n">
        <f aca="false">IF(J13,J13*20+100,0)</f>
        <v>0</v>
      </c>
      <c r="L13" s="49"/>
      <c r="M13" s="49" t="n">
        <f aca="false">IF(L13,L13*20+100,0)</f>
        <v>0</v>
      </c>
      <c r="N13" s="49"/>
      <c r="O13" s="49" t="n">
        <f aca="false">IF(N13,N13*20+100,0)</f>
        <v>0</v>
      </c>
      <c r="P13" s="49"/>
      <c r="Q13" s="50" t="n">
        <f aca="false">IF(P13,P13*20+100,0)</f>
        <v>0</v>
      </c>
      <c r="R13" s="49"/>
      <c r="S13" s="51" t="n">
        <f aca="false">IF(R13,R13*20+100,0)</f>
        <v>0</v>
      </c>
    </row>
    <row r="14" customFormat="false" ht="15" hidden="false" customHeight="false" outlineLevel="0" collapsed="false">
      <c r="A14" s="55" t="n">
        <v>9</v>
      </c>
      <c r="B14" s="49"/>
      <c r="C14" s="49" t="n">
        <f aca="false">IF(B14,B14*20+100,0)</f>
        <v>0</v>
      </c>
      <c r="D14" s="49"/>
      <c r="E14" s="49" t="n">
        <f aca="false">IF(D14,D14*20+100,0)</f>
        <v>0</v>
      </c>
      <c r="F14" s="49"/>
      <c r="G14" s="49" t="n">
        <f aca="false">IF(F14,F14*20+100,0)</f>
        <v>0</v>
      </c>
      <c r="H14" s="49"/>
      <c r="I14" s="49" t="n">
        <f aca="false">IF(H14,H14*20+100,0)</f>
        <v>0</v>
      </c>
      <c r="J14" s="49"/>
      <c r="K14" s="49" t="n">
        <f aca="false">IF(J14,J14*20+100,0)</f>
        <v>0</v>
      </c>
      <c r="L14" s="49"/>
      <c r="M14" s="49" t="n">
        <f aca="false">IF(L14,L14*20+100,0)</f>
        <v>0</v>
      </c>
      <c r="N14" s="49"/>
      <c r="O14" s="49" t="n">
        <f aca="false">IF(N14,N14*20+100,0)</f>
        <v>0</v>
      </c>
      <c r="P14" s="49"/>
      <c r="Q14" s="50" t="n">
        <f aca="false">IF(P14,P14*20+100,0)</f>
        <v>0</v>
      </c>
      <c r="R14" s="49"/>
      <c r="S14" s="51" t="n">
        <f aca="false">IF(R14,R14*20+100,0)</f>
        <v>0</v>
      </c>
    </row>
    <row r="15" customFormat="false" ht="15" hidden="false" customHeight="false" outlineLevel="0" collapsed="false">
      <c r="A15" s="55" t="n">
        <v>10</v>
      </c>
      <c r="B15" s="49"/>
      <c r="C15" s="49" t="n">
        <f aca="false">IF(B15,B15*20+100,0)</f>
        <v>0</v>
      </c>
      <c r="D15" s="49"/>
      <c r="E15" s="49" t="n">
        <f aca="false">IF(D15,D15*20+100,0)</f>
        <v>0</v>
      </c>
      <c r="F15" s="49"/>
      <c r="G15" s="49" t="n">
        <f aca="false">IF(F15,F15*20+100,0)</f>
        <v>0</v>
      </c>
      <c r="H15" s="49"/>
      <c r="I15" s="49" t="n">
        <f aca="false">IF(H15,H15*20+100,0)</f>
        <v>0</v>
      </c>
      <c r="J15" s="49"/>
      <c r="K15" s="49" t="n">
        <f aca="false">IF(J15,J15*20+100,0)</f>
        <v>0</v>
      </c>
      <c r="L15" s="49"/>
      <c r="M15" s="49" t="n">
        <f aca="false">IF(L15,L15*20+100,0)</f>
        <v>0</v>
      </c>
      <c r="N15" s="49"/>
      <c r="O15" s="49" t="n">
        <f aca="false">IF(N15,N15*20+100,0)</f>
        <v>0</v>
      </c>
      <c r="P15" s="49"/>
      <c r="Q15" s="50" t="n">
        <f aca="false">IF(P15,P15*20+100,0)</f>
        <v>0</v>
      </c>
      <c r="R15" s="49"/>
      <c r="S15" s="51" t="n">
        <f aca="false">IF(R15,R15*20+100,0)</f>
        <v>0</v>
      </c>
    </row>
    <row r="16" customFormat="false" ht="15" hidden="false" customHeight="false" outlineLevel="0" collapsed="false">
      <c r="A16" s="55" t="n">
        <v>11</v>
      </c>
      <c r="B16" s="49"/>
      <c r="C16" s="49" t="n">
        <f aca="false">IF(B16,B16*20+100,0)</f>
        <v>0</v>
      </c>
      <c r="D16" s="49"/>
      <c r="E16" s="49" t="n">
        <f aca="false">IF(D16,D16*20+100,0)</f>
        <v>0</v>
      </c>
      <c r="F16" s="49"/>
      <c r="G16" s="49" t="n">
        <f aca="false">IF(F16,F16*20+100,0)</f>
        <v>0</v>
      </c>
      <c r="H16" s="49"/>
      <c r="I16" s="49" t="n">
        <f aca="false">IF(H16,H16*20+100,0)</f>
        <v>0</v>
      </c>
      <c r="J16" s="49"/>
      <c r="K16" s="49" t="n">
        <f aca="false">IF(J16,J16*20+100,0)</f>
        <v>0</v>
      </c>
      <c r="L16" s="49"/>
      <c r="M16" s="49" t="n">
        <f aca="false">IF(L16,L16*20+100,0)</f>
        <v>0</v>
      </c>
      <c r="N16" s="49"/>
      <c r="O16" s="49" t="n">
        <f aca="false">IF(N16,N16*20+100,0)</f>
        <v>0</v>
      </c>
      <c r="P16" s="49"/>
      <c r="Q16" s="50" t="n">
        <f aca="false">IF(P16,P16*20+100,0)</f>
        <v>0</v>
      </c>
      <c r="R16" s="49"/>
      <c r="S16" s="51" t="n">
        <f aca="false">IF(R16,R16*20+100,0)</f>
        <v>0</v>
      </c>
    </row>
    <row r="17" customFormat="false" ht="15" hidden="false" customHeight="false" outlineLevel="0" collapsed="false">
      <c r="A17" s="55" t="n">
        <v>12</v>
      </c>
      <c r="B17" s="49"/>
      <c r="C17" s="49" t="n">
        <f aca="false">IF(B17,B17*20+100,0)</f>
        <v>0</v>
      </c>
      <c r="D17" s="49"/>
      <c r="E17" s="49" t="n">
        <f aca="false">IF(D17,D17*20+100,0)</f>
        <v>0</v>
      </c>
      <c r="F17" s="49"/>
      <c r="G17" s="49" t="n">
        <f aca="false">IF(F17,F17*20+100,0)</f>
        <v>0</v>
      </c>
      <c r="H17" s="49"/>
      <c r="I17" s="49" t="n">
        <f aca="false">IF(H17,H17*20+100,0)</f>
        <v>0</v>
      </c>
      <c r="J17" s="49"/>
      <c r="K17" s="49" t="n">
        <f aca="false">IF(J17,J17*20+100,0)</f>
        <v>0</v>
      </c>
      <c r="L17" s="49"/>
      <c r="M17" s="49" t="n">
        <f aca="false">IF(L17,L17*20+100,0)</f>
        <v>0</v>
      </c>
      <c r="N17" s="49"/>
      <c r="O17" s="49" t="n">
        <f aca="false">IF(N17,N17*20+100,0)</f>
        <v>0</v>
      </c>
      <c r="P17" s="49"/>
      <c r="Q17" s="50" t="n">
        <f aca="false">IF(P17,P17*20+100,0)</f>
        <v>0</v>
      </c>
      <c r="R17" s="49"/>
      <c r="S17" s="51" t="n">
        <f aca="false">IF(R17,R17*20+100,0)</f>
        <v>0</v>
      </c>
    </row>
    <row r="18" customFormat="false" ht="15" hidden="false" customHeight="false" outlineLevel="0" collapsed="false">
      <c r="A18" s="55" t="n">
        <v>13</v>
      </c>
      <c r="B18" s="49"/>
      <c r="C18" s="49" t="n">
        <f aca="false">IF(B18,B18*20+100,0)</f>
        <v>0</v>
      </c>
      <c r="D18" s="49"/>
      <c r="E18" s="49" t="n">
        <f aca="false">IF(D18,D18*20+100,0)</f>
        <v>0</v>
      </c>
      <c r="F18" s="49"/>
      <c r="G18" s="49" t="n">
        <f aca="false">IF(F18,F18*20+100,0)</f>
        <v>0</v>
      </c>
      <c r="H18" s="49"/>
      <c r="I18" s="49" t="n">
        <f aca="false">IF(H18,H18*20+100,0)</f>
        <v>0</v>
      </c>
      <c r="J18" s="49"/>
      <c r="K18" s="49" t="n">
        <f aca="false">IF(J18,J18*20+100,0)</f>
        <v>0</v>
      </c>
      <c r="L18" s="49"/>
      <c r="M18" s="49" t="n">
        <f aca="false">IF(L18,L18*20+100,0)</f>
        <v>0</v>
      </c>
      <c r="N18" s="49"/>
      <c r="O18" s="49" t="n">
        <f aca="false">IF(N18,N18*20+100,0)</f>
        <v>0</v>
      </c>
      <c r="P18" s="49"/>
      <c r="Q18" s="50" t="n">
        <f aca="false">IF(P18,P18*20+100,0)</f>
        <v>0</v>
      </c>
      <c r="R18" s="49"/>
      <c r="S18" s="51" t="n">
        <f aca="false">IF(R18,R18*20+100,0)</f>
        <v>0</v>
      </c>
    </row>
    <row r="19" customFormat="false" ht="15" hidden="false" customHeight="false" outlineLevel="0" collapsed="false">
      <c r="A19" s="55" t="n">
        <v>14</v>
      </c>
      <c r="B19" s="49"/>
      <c r="C19" s="49" t="n">
        <f aca="false">IF(B19,B19*20+100,0)</f>
        <v>0</v>
      </c>
      <c r="D19" s="49"/>
      <c r="E19" s="49" t="n">
        <f aca="false">IF(D19,D19*20+100,0)</f>
        <v>0</v>
      </c>
      <c r="F19" s="49"/>
      <c r="G19" s="49" t="n">
        <f aca="false">IF(F19,F19*20+100,0)</f>
        <v>0</v>
      </c>
      <c r="H19" s="49"/>
      <c r="I19" s="49" t="n">
        <f aca="false">IF(H19,H19*20+100,0)</f>
        <v>0</v>
      </c>
      <c r="J19" s="49"/>
      <c r="K19" s="49" t="n">
        <f aca="false">IF(J19,J19*20+100,0)</f>
        <v>0</v>
      </c>
      <c r="L19" s="49"/>
      <c r="M19" s="49" t="n">
        <f aca="false">IF(L19,L19*20+100,0)</f>
        <v>0</v>
      </c>
      <c r="N19" s="49"/>
      <c r="O19" s="49" t="n">
        <f aca="false">IF(N19,N19*20+100,0)</f>
        <v>0</v>
      </c>
      <c r="P19" s="49"/>
      <c r="Q19" s="50" t="n">
        <f aca="false">IF(P19,P19*20+100,0)</f>
        <v>0</v>
      </c>
      <c r="R19" s="49"/>
      <c r="S19" s="51" t="n">
        <f aca="false">IF(R19,R19*20+100,0)</f>
        <v>0</v>
      </c>
    </row>
    <row r="20" customFormat="false" ht="15" hidden="false" customHeight="false" outlineLevel="0" collapsed="false">
      <c r="A20" s="55" t="n">
        <v>15</v>
      </c>
      <c r="B20" s="49"/>
      <c r="C20" s="49" t="n">
        <f aca="false">IF(B20,B20*20+100,0)</f>
        <v>0</v>
      </c>
      <c r="D20" s="49"/>
      <c r="E20" s="49" t="n">
        <f aca="false">IF(D20,D20*20+100,0)</f>
        <v>0</v>
      </c>
      <c r="F20" s="49"/>
      <c r="G20" s="49" t="n">
        <f aca="false">IF(F20,F20*20+100,0)</f>
        <v>0</v>
      </c>
      <c r="H20" s="49"/>
      <c r="I20" s="49" t="n">
        <f aca="false">IF(H20,H20*20+100,0)</f>
        <v>0</v>
      </c>
      <c r="J20" s="49"/>
      <c r="K20" s="49" t="n">
        <f aca="false">IF(J20,J20*20+100,0)</f>
        <v>0</v>
      </c>
      <c r="L20" s="49"/>
      <c r="M20" s="49" t="n">
        <f aca="false">IF(L20,L20*20+100,0)</f>
        <v>0</v>
      </c>
      <c r="N20" s="49"/>
      <c r="O20" s="49" t="n">
        <f aca="false">IF(N20,N20*20+100,0)</f>
        <v>0</v>
      </c>
      <c r="P20" s="49"/>
      <c r="Q20" s="50" t="n">
        <f aca="false">IF(P20,P20*20+100,0)</f>
        <v>0</v>
      </c>
      <c r="R20" s="49"/>
      <c r="S20" s="51" t="n">
        <f aca="false">IF(R20,R20*20+100,0)</f>
        <v>0</v>
      </c>
    </row>
    <row r="21" customFormat="false" ht="15" hidden="false" customHeight="false" outlineLevel="0" collapsed="false">
      <c r="A21" s="55" t="n">
        <v>16</v>
      </c>
      <c r="B21" s="49"/>
      <c r="C21" s="49" t="n">
        <f aca="false">IF(B21,B21*20+100,0)</f>
        <v>0</v>
      </c>
      <c r="D21" s="49"/>
      <c r="E21" s="49" t="n">
        <f aca="false">IF(D21,D21*20+100,0)</f>
        <v>0</v>
      </c>
      <c r="F21" s="49"/>
      <c r="G21" s="49" t="n">
        <f aca="false">IF(F21,F21*20+100,0)</f>
        <v>0</v>
      </c>
      <c r="H21" s="49"/>
      <c r="I21" s="49" t="n">
        <f aca="false">IF(H21,H21*20+100,0)</f>
        <v>0</v>
      </c>
      <c r="J21" s="49"/>
      <c r="K21" s="49" t="n">
        <f aca="false">IF(J21,J21*20+100,0)</f>
        <v>0</v>
      </c>
      <c r="L21" s="49"/>
      <c r="M21" s="49" t="n">
        <f aca="false">IF(L21,L21*20+100,0)</f>
        <v>0</v>
      </c>
      <c r="N21" s="49"/>
      <c r="O21" s="49" t="n">
        <f aca="false">IF(N21,N21*20+100,0)</f>
        <v>0</v>
      </c>
      <c r="P21" s="49"/>
      <c r="Q21" s="50" t="n">
        <f aca="false">IF(P21,P21*20+100,0)</f>
        <v>0</v>
      </c>
      <c r="R21" s="49"/>
      <c r="S21" s="51" t="n">
        <f aca="false">IF(R21,R21*20+100,0)</f>
        <v>0</v>
      </c>
    </row>
    <row r="22" customFormat="false" ht="15" hidden="false" customHeight="false" outlineLevel="0" collapsed="false">
      <c r="A22" s="55" t="n">
        <v>17</v>
      </c>
      <c r="B22" s="49"/>
      <c r="C22" s="49" t="n">
        <f aca="false">IF(B22,B22*20+100,0)</f>
        <v>0</v>
      </c>
      <c r="D22" s="49"/>
      <c r="E22" s="49" t="n">
        <f aca="false">IF(D22,D22*20+100,0)</f>
        <v>0</v>
      </c>
      <c r="F22" s="49"/>
      <c r="G22" s="49" t="n">
        <f aca="false">IF(F22,F22*20+100,0)</f>
        <v>0</v>
      </c>
      <c r="H22" s="49"/>
      <c r="I22" s="49" t="n">
        <f aca="false">IF(H22,H22*20+100,0)</f>
        <v>0</v>
      </c>
      <c r="J22" s="49"/>
      <c r="K22" s="49" t="n">
        <f aca="false">IF(J22,J22*20+100,0)</f>
        <v>0</v>
      </c>
      <c r="L22" s="49"/>
      <c r="M22" s="49" t="n">
        <f aca="false">IF(L22,L22*20+100,0)</f>
        <v>0</v>
      </c>
      <c r="N22" s="49"/>
      <c r="O22" s="49" t="n">
        <f aca="false">IF(N22,N22*20+100,0)</f>
        <v>0</v>
      </c>
      <c r="P22" s="49"/>
      <c r="Q22" s="50" t="n">
        <f aca="false">IF(P22,P22*20+100,0)</f>
        <v>0</v>
      </c>
      <c r="R22" s="49"/>
      <c r="S22" s="51" t="n">
        <f aca="false">IF(R22,R22*20+100,0)</f>
        <v>0</v>
      </c>
    </row>
    <row r="23" customFormat="false" ht="15" hidden="false" customHeight="false" outlineLevel="0" collapsed="false">
      <c r="A23" s="55" t="n">
        <v>18</v>
      </c>
      <c r="B23" s="49"/>
      <c r="C23" s="49" t="n">
        <f aca="false">IF(B23,B23*20+100,0)</f>
        <v>0</v>
      </c>
      <c r="D23" s="49"/>
      <c r="E23" s="49" t="n">
        <f aca="false">IF(D23,D23*20+100,0)</f>
        <v>0</v>
      </c>
      <c r="F23" s="49"/>
      <c r="G23" s="49" t="n">
        <f aca="false">IF(F23,F23*20+100,0)</f>
        <v>0</v>
      </c>
      <c r="H23" s="49"/>
      <c r="I23" s="49" t="n">
        <f aca="false">IF(H23,H23*20+100,0)</f>
        <v>0</v>
      </c>
      <c r="J23" s="49"/>
      <c r="K23" s="49" t="n">
        <f aca="false">IF(J23,J23*20+100,0)</f>
        <v>0</v>
      </c>
      <c r="L23" s="49"/>
      <c r="M23" s="49" t="n">
        <f aca="false">IF(L23,L23*20+100,0)</f>
        <v>0</v>
      </c>
      <c r="N23" s="49"/>
      <c r="O23" s="49" t="n">
        <f aca="false">IF(N23,N23*20+100,0)</f>
        <v>0</v>
      </c>
      <c r="P23" s="49"/>
      <c r="Q23" s="50" t="n">
        <f aca="false">IF(P23,P23*20+100,0)</f>
        <v>0</v>
      </c>
      <c r="R23" s="49"/>
      <c r="S23" s="51" t="n">
        <f aca="false">IF(R23,R23*20+100,0)</f>
        <v>0</v>
      </c>
    </row>
    <row r="24" customFormat="false" ht="15" hidden="false" customHeight="false" outlineLevel="0" collapsed="false">
      <c r="A24" s="55" t="n">
        <v>19</v>
      </c>
      <c r="B24" s="49"/>
      <c r="C24" s="49" t="n">
        <f aca="false">IF(B24,B24*20+100,0)</f>
        <v>0</v>
      </c>
      <c r="D24" s="49"/>
      <c r="E24" s="49" t="n">
        <f aca="false">IF(D24,D24*20+100,0)</f>
        <v>0</v>
      </c>
      <c r="F24" s="49"/>
      <c r="G24" s="49" t="n">
        <f aca="false">IF(F24,F24*20+100,0)</f>
        <v>0</v>
      </c>
      <c r="H24" s="49"/>
      <c r="I24" s="49" t="n">
        <f aca="false">IF(H24,H24*20+100,0)</f>
        <v>0</v>
      </c>
      <c r="J24" s="49"/>
      <c r="K24" s="49" t="n">
        <f aca="false">IF(J24,J24*20+100,0)</f>
        <v>0</v>
      </c>
      <c r="L24" s="49"/>
      <c r="M24" s="49" t="n">
        <f aca="false">IF(L24,L24*20+100,0)</f>
        <v>0</v>
      </c>
      <c r="N24" s="49"/>
      <c r="O24" s="49" t="n">
        <f aca="false">IF(N24,N24*20+100,0)</f>
        <v>0</v>
      </c>
      <c r="P24" s="49"/>
      <c r="Q24" s="50" t="n">
        <f aca="false">IF(P24,P24*20+100,0)</f>
        <v>0</v>
      </c>
      <c r="R24" s="49"/>
      <c r="S24" s="51" t="n">
        <f aca="false">IF(R24,R24*20+100,0)</f>
        <v>0</v>
      </c>
    </row>
    <row r="25" customFormat="false" ht="15" hidden="false" customHeight="false" outlineLevel="0" collapsed="false">
      <c r="A25" s="55" t="n">
        <v>20</v>
      </c>
      <c r="B25" s="49"/>
      <c r="C25" s="49" t="n">
        <f aca="false">IF(B25,B25*20+100,0)</f>
        <v>0</v>
      </c>
      <c r="D25" s="49"/>
      <c r="E25" s="49" t="n">
        <f aca="false">IF(D25,D25*20+100,0)</f>
        <v>0</v>
      </c>
      <c r="F25" s="49"/>
      <c r="G25" s="49" t="n">
        <f aca="false">IF(F25,F25*20+100,0)</f>
        <v>0</v>
      </c>
      <c r="H25" s="49"/>
      <c r="I25" s="49" t="n">
        <f aca="false">IF(H25,H25*20+100,0)</f>
        <v>0</v>
      </c>
      <c r="J25" s="49"/>
      <c r="K25" s="49" t="n">
        <f aca="false">IF(J25,J25*20+100,0)</f>
        <v>0</v>
      </c>
      <c r="L25" s="49"/>
      <c r="M25" s="49" t="n">
        <f aca="false">IF(L25,L25*20+100,0)</f>
        <v>0</v>
      </c>
      <c r="N25" s="49"/>
      <c r="O25" s="49" t="n">
        <f aca="false">IF(N25,N25*20+100,0)</f>
        <v>0</v>
      </c>
      <c r="P25" s="49"/>
      <c r="Q25" s="50" t="n">
        <f aca="false">IF(P25,P25*20+100,0)</f>
        <v>0</v>
      </c>
      <c r="R25" s="49"/>
      <c r="S25" s="51" t="n">
        <f aca="false">IF(R25,R25*20+100,0)</f>
        <v>0</v>
      </c>
    </row>
    <row r="26" customFormat="false" ht="15" hidden="false" customHeight="false" outlineLevel="0" collapsed="false">
      <c r="A26" s="55" t="n">
        <v>21</v>
      </c>
      <c r="B26" s="49"/>
      <c r="C26" s="49" t="n">
        <f aca="false">IF(B26,B26*20+100,0)</f>
        <v>0</v>
      </c>
      <c r="D26" s="49"/>
      <c r="E26" s="49" t="n">
        <f aca="false">IF(D26,D26*20+100,0)</f>
        <v>0</v>
      </c>
      <c r="F26" s="49"/>
      <c r="G26" s="49" t="n">
        <f aca="false">IF(F26,F26*20+100,0)</f>
        <v>0</v>
      </c>
      <c r="H26" s="49"/>
      <c r="I26" s="49" t="n">
        <f aca="false">IF(H26,H26*20+100,0)</f>
        <v>0</v>
      </c>
      <c r="J26" s="49"/>
      <c r="K26" s="49" t="n">
        <f aca="false">IF(J26,J26*20+100,0)</f>
        <v>0</v>
      </c>
      <c r="L26" s="49"/>
      <c r="M26" s="49" t="n">
        <f aca="false">IF(L26,L26*20+100,0)</f>
        <v>0</v>
      </c>
      <c r="N26" s="49"/>
      <c r="O26" s="49" t="n">
        <f aca="false">IF(N26,N26*20+100,0)</f>
        <v>0</v>
      </c>
      <c r="P26" s="49"/>
      <c r="Q26" s="50" t="n">
        <f aca="false">IF(P26,P26*20+100,0)</f>
        <v>0</v>
      </c>
      <c r="R26" s="49"/>
      <c r="S26" s="51" t="n">
        <f aca="false">IF(R26,R26*20+100,0)</f>
        <v>0</v>
      </c>
    </row>
    <row r="27" customFormat="false" ht="15" hidden="false" customHeight="false" outlineLevel="0" collapsed="false">
      <c r="A27" s="55" t="n">
        <v>22</v>
      </c>
      <c r="B27" s="49"/>
      <c r="C27" s="49" t="n">
        <f aca="false">IF(B27,B27*20+100,0)</f>
        <v>0</v>
      </c>
      <c r="D27" s="49"/>
      <c r="E27" s="49" t="n">
        <f aca="false">IF(D27,D27*20+100,0)</f>
        <v>0</v>
      </c>
      <c r="F27" s="49"/>
      <c r="G27" s="49" t="n">
        <f aca="false">IF(F27,F27*20+100,0)</f>
        <v>0</v>
      </c>
      <c r="H27" s="49"/>
      <c r="I27" s="49" t="n">
        <f aca="false">IF(H27,H27*20+100,0)</f>
        <v>0</v>
      </c>
      <c r="J27" s="49"/>
      <c r="K27" s="49" t="n">
        <f aca="false">IF(J27,J27*20+100,0)</f>
        <v>0</v>
      </c>
      <c r="L27" s="49"/>
      <c r="M27" s="49" t="n">
        <f aca="false">IF(L27,L27*20+100,0)</f>
        <v>0</v>
      </c>
      <c r="N27" s="49"/>
      <c r="O27" s="49" t="n">
        <f aca="false">IF(N27,N27*20+100,0)</f>
        <v>0</v>
      </c>
      <c r="P27" s="49"/>
      <c r="Q27" s="50" t="n">
        <f aca="false">IF(P27,P27*20+100,0)</f>
        <v>0</v>
      </c>
      <c r="R27" s="49"/>
      <c r="S27" s="51" t="n">
        <f aca="false">IF(R27,R27*20+100,0)</f>
        <v>0</v>
      </c>
    </row>
    <row r="28" customFormat="false" ht="15" hidden="false" customHeight="false" outlineLevel="0" collapsed="false">
      <c r="A28" s="55" t="n">
        <v>23</v>
      </c>
      <c r="B28" s="49"/>
      <c r="C28" s="49" t="n">
        <f aca="false">IF(B28,B28*20+100,0)</f>
        <v>0</v>
      </c>
      <c r="D28" s="49"/>
      <c r="E28" s="49" t="n">
        <f aca="false">IF(D28,D28*20+100,0)</f>
        <v>0</v>
      </c>
      <c r="F28" s="49"/>
      <c r="G28" s="49" t="n">
        <f aca="false">IF(F28,F28*20+100,0)</f>
        <v>0</v>
      </c>
      <c r="H28" s="49"/>
      <c r="I28" s="49" t="n">
        <f aca="false">IF(H28,H28*20+100,0)</f>
        <v>0</v>
      </c>
      <c r="J28" s="49"/>
      <c r="K28" s="49" t="n">
        <f aca="false">IF(J28,J28*20+100,0)</f>
        <v>0</v>
      </c>
      <c r="L28" s="49"/>
      <c r="M28" s="49" t="n">
        <f aca="false">IF(L28,L28*20+100,0)</f>
        <v>0</v>
      </c>
      <c r="N28" s="49"/>
      <c r="O28" s="49" t="n">
        <f aca="false">IF(N28,N28*20+100,0)</f>
        <v>0</v>
      </c>
      <c r="P28" s="49"/>
      <c r="Q28" s="50" t="n">
        <f aca="false">IF(P28,P28*20+100,0)</f>
        <v>0</v>
      </c>
      <c r="R28" s="49"/>
      <c r="S28" s="51" t="n">
        <f aca="false">IF(R28,R28*20+100,0)</f>
        <v>0</v>
      </c>
    </row>
    <row r="29" customFormat="false" ht="15" hidden="false" customHeight="false" outlineLevel="0" collapsed="false">
      <c r="A29" s="55" t="n">
        <v>24</v>
      </c>
      <c r="B29" s="49"/>
      <c r="C29" s="49" t="n">
        <f aca="false">IF(B29,B29*20+100,0)</f>
        <v>0</v>
      </c>
      <c r="D29" s="49"/>
      <c r="E29" s="49" t="n">
        <f aca="false">IF(D29,D29*20+100,0)</f>
        <v>0</v>
      </c>
      <c r="F29" s="49"/>
      <c r="G29" s="49" t="n">
        <f aca="false">IF(F29,F29*20+100,0)</f>
        <v>0</v>
      </c>
      <c r="H29" s="49"/>
      <c r="I29" s="49" t="n">
        <f aca="false">IF(H29,H29*20+100,0)</f>
        <v>0</v>
      </c>
      <c r="J29" s="49"/>
      <c r="K29" s="49" t="n">
        <f aca="false">IF(J29,J29*20+100,0)</f>
        <v>0</v>
      </c>
      <c r="L29" s="49"/>
      <c r="M29" s="49" t="n">
        <f aca="false">IF(L29,L29*20+100,0)</f>
        <v>0</v>
      </c>
      <c r="N29" s="49"/>
      <c r="O29" s="49" t="n">
        <f aca="false">IF(N29,N29*20+100,0)</f>
        <v>0</v>
      </c>
      <c r="P29" s="49"/>
      <c r="Q29" s="50" t="n">
        <f aca="false">IF(P29,P29*20+100,0)</f>
        <v>0</v>
      </c>
      <c r="R29" s="49"/>
      <c r="S29" s="51" t="n">
        <f aca="false">IF(R29,R29*20+100,0)</f>
        <v>0</v>
      </c>
    </row>
    <row r="30" customFormat="false" ht="15" hidden="false" customHeight="false" outlineLevel="0" collapsed="false">
      <c r="A30" s="55" t="n">
        <v>25</v>
      </c>
      <c r="B30" s="49"/>
      <c r="C30" s="49" t="n">
        <f aca="false">IF(B30,B30*20+100,0)</f>
        <v>0</v>
      </c>
      <c r="D30" s="49"/>
      <c r="E30" s="49" t="n">
        <f aca="false">IF(D30,D30*20+100,0)</f>
        <v>0</v>
      </c>
      <c r="F30" s="49"/>
      <c r="G30" s="49" t="n">
        <f aca="false">IF(F30,F30*20+100,0)</f>
        <v>0</v>
      </c>
      <c r="H30" s="49"/>
      <c r="I30" s="49" t="n">
        <f aca="false">IF(H30,H30*20+100,0)</f>
        <v>0</v>
      </c>
      <c r="J30" s="49"/>
      <c r="K30" s="49" t="n">
        <f aca="false">IF(J30,J30*20+100,0)</f>
        <v>0</v>
      </c>
      <c r="L30" s="49"/>
      <c r="M30" s="49" t="n">
        <f aca="false">IF(L30,L30*20+100,0)</f>
        <v>0</v>
      </c>
      <c r="N30" s="49"/>
      <c r="O30" s="49" t="n">
        <f aca="false">IF(N30,N30*20+100,0)</f>
        <v>0</v>
      </c>
      <c r="P30" s="49"/>
      <c r="Q30" s="50" t="n">
        <f aca="false">IF(P30,P30*20+100,0)</f>
        <v>0</v>
      </c>
      <c r="R30" s="49"/>
      <c r="S30" s="51" t="n">
        <f aca="false">IF(R30,R30*20+100,0)</f>
        <v>0</v>
      </c>
    </row>
    <row r="31" customFormat="false" ht="15" hidden="false" customHeight="false" outlineLevel="0" collapsed="false">
      <c r="A31" s="55" t="n">
        <v>26</v>
      </c>
      <c r="B31" s="49"/>
      <c r="C31" s="49" t="n">
        <f aca="false">IF(B31,B31*20+100,0)</f>
        <v>0</v>
      </c>
      <c r="D31" s="49"/>
      <c r="E31" s="49" t="n">
        <f aca="false">IF(D31,D31*20+100,0)</f>
        <v>0</v>
      </c>
      <c r="F31" s="49"/>
      <c r="G31" s="49" t="n">
        <f aca="false">IF(F31,F31*20+100,0)</f>
        <v>0</v>
      </c>
      <c r="H31" s="49"/>
      <c r="I31" s="49" t="n">
        <f aca="false">IF(H31,H31*20+100,0)</f>
        <v>0</v>
      </c>
      <c r="J31" s="49"/>
      <c r="K31" s="49" t="n">
        <f aca="false">IF(J31,J31*20+100,0)</f>
        <v>0</v>
      </c>
      <c r="L31" s="49"/>
      <c r="M31" s="49" t="n">
        <f aca="false">IF(L31,L31*20+100,0)</f>
        <v>0</v>
      </c>
      <c r="N31" s="49"/>
      <c r="O31" s="49" t="n">
        <f aca="false">IF(N31,N31*20+100,0)</f>
        <v>0</v>
      </c>
      <c r="P31" s="49"/>
      <c r="Q31" s="50" t="n">
        <f aca="false">IF(P31,P31*20+100,0)</f>
        <v>0</v>
      </c>
      <c r="R31" s="49"/>
      <c r="S31" s="51" t="n">
        <f aca="false">IF(R31,R31*20+100,0)</f>
        <v>0</v>
      </c>
    </row>
    <row r="32" customFormat="false" ht="15" hidden="false" customHeight="false" outlineLevel="0" collapsed="false">
      <c r="A32" s="55" t="n">
        <v>27</v>
      </c>
      <c r="B32" s="49"/>
      <c r="C32" s="49" t="n">
        <f aca="false">IF(B32,B32*20+100,0)</f>
        <v>0</v>
      </c>
      <c r="D32" s="49"/>
      <c r="E32" s="49" t="n">
        <f aca="false">IF(D32,D32*20+100,0)</f>
        <v>0</v>
      </c>
      <c r="F32" s="49"/>
      <c r="G32" s="49" t="n">
        <f aca="false">IF(F32,F32*20+100,0)</f>
        <v>0</v>
      </c>
      <c r="H32" s="49"/>
      <c r="I32" s="49" t="n">
        <f aca="false">IF(H32,H32*20+100,0)</f>
        <v>0</v>
      </c>
      <c r="J32" s="49"/>
      <c r="K32" s="49" t="n">
        <f aca="false">IF(J32,J32*20+100,0)</f>
        <v>0</v>
      </c>
      <c r="L32" s="49"/>
      <c r="M32" s="49" t="n">
        <f aca="false">IF(L32,L32*20+100,0)</f>
        <v>0</v>
      </c>
      <c r="N32" s="49"/>
      <c r="O32" s="49" t="n">
        <f aca="false">IF(N32,N32*20+100,0)</f>
        <v>0</v>
      </c>
      <c r="P32" s="49"/>
      <c r="Q32" s="50" t="n">
        <f aca="false">IF(P32,P32*20+100,0)</f>
        <v>0</v>
      </c>
      <c r="R32" s="49"/>
      <c r="S32" s="51" t="n">
        <f aca="false">IF(R32,R32*20+100,0)</f>
        <v>0</v>
      </c>
    </row>
    <row r="33" customFormat="false" ht="15" hidden="false" customHeight="false" outlineLevel="0" collapsed="false">
      <c r="A33" s="55" t="n">
        <v>28</v>
      </c>
      <c r="B33" s="49"/>
      <c r="C33" s="49" t="n">
        <f aca="false">IF(B33,B33*20+100,0)</f>
        <v>0</v>
      </c>
      <c r="D33" s="49"/>
      <c r="E33" s="49" t="n">
        <f aca="false">IF(D33,D33*20+100,0)</f>
        <v>0</v>
      </c>
      <c r="F33" s="49"/>
      <c r="G33" s="49" t="n">
        <f aca="false">IF(F33,F33*20+100,0)</f>
        <v>0</v>
      </c>
      <c r="H33" s="49"/>
      <c r="I33" s="49" t="n">
        <f aca="false">IF(H33,H33*20+100,0)</f>
        <v>0</v>
      </c>
      <c r="J33" s="49"/>
      <c r="K33" s="49" t="n">
        <f aca="false">IF(J33,J33*20+100,0)</f>
        <v>0</v>
      </c>
      <c r="L33" s="49"/>
      <c r="M33" s="49" t="n">
        <f aca="false">IF(L33,L33*20+100,0)</f>
        <v>0</v>
      </c>
      <c r="N33" s="49"/>
      <c r="O33" s="49" t="n">
        <f aca="false">IF(N33,N33*20+100,0)</f>
        <v>0</v>
      </c>
      <c r="P33" s="49"/>
      <c r="Q33" s="50" t="n">
        <f aca="false">IF(P33,P33*20+100,0)</f>
        <v>0</v>
      </c>
      <c r="R33" s="49"/>
      <c r="S33" s="51" t="n">
        <f aca="false">IF(R33,R33*20+100,0)</f>
        <v>0</v>
      </c>
    </row>
    <row r="34" customFormat="false" ht="15" hidden="false" customHeight="false" outlineLevel="0" collapsed="false">
      <c r="A34" s="55" t="n">
        <v>29</v>
      </c>
      <c r="B34" s="49"/>
      <c r="C34" s="49" t="n">
        <f aca="false">IF(B34,B34*20+100,0)</f>
        <v>0</v>
      </c>
      <c r="D34" s="49"/>
      <c r="E34" s="49" t="n">
        <f aca="false">IF(D34,D34*20+100,0)</f>
        <v>0</v>
      </c>
      <c r="F34" s="49"/>
      <c r="G34" s="49" t="n">
        <f aca="false">IF(F34,F34*20+100,0)</f>
        <v>0</v>
      </c>
      <c r="H34" s="49"/>
      <c r="I34" s="49" t="n">
        <f aca="false">IF(H34,H34*20+100,0)</f>
        <v>0</v>
      </c>
      <c r="J34" s="49"/>
      <c r="K34" s="49" t="n">
        <f aca="false">IF(J34,J34*20+100,0)</f>
        <v>0</v>
      </c>
      <c r="L34" s="49"/>
      <c r="M34" s="49" t="n">
        <f aca="false">IF(L34,L34*20+100,0)</f>
        <v>0</v>
      </c>
      <c r="N34" s="49"/>
      <c r="O34" s="49" t="n">
        <f aca="false">IF(N34,N34*20+100,0)</f>
        <v>0</v>
      </c>
      <c r="P34" s="49"/>
      <c r="Q34" s="50" t="n">
        <f aca="false">IF(P34,P34*20+100,0)</f>
        <v>0</v>
      </c>
      <c r="R34" s="49"/>
      <c r="S34" s="51" t="n">
        <f aca="false">IF(R34,R34*20+100,0)</f>
        <v>0</v>
      </c>
    </row>
    <row r="35" customFormat="false" ht="15" hidden="false" customHeight="false" outlineLevel="0" collapsed="false">
      <c r="A35" s="55" t="n">
        <v>30</v>
      </c>
      <c r="B35" s="49"/>
      <c r="C35" s="49" t="n">
        <f aca="false">IF(B35,B35*20+100,0)</f>
        <v>0</v>
      </c>
      <c r="D35" s="49"/>
      <c r="E35" s="49" t="n">
        <f aca="false">IF(D35,D35*20+100,0)</f>
        <v>0</v>
      </c>
      <c r="F35" s="49"/>
      <c r="G35" s="49" t="n">
        <f aca="false">IF(F35,F35*20+100,0)</f>
        <v>0</v>
      </c>
      <c r="H35" s="49"/>
      <c r="I35" s="49" t="n">
        <f aca="false">IF(H35,H35*20+100,0)</f>
        <v>0</v>
      </c>
      <c r="J35" s="49"/>
      <c r="K35" s="49" t="n">
        <f aca="false">IF(J35,J35*20+100,0)</f>
        <v>0</v>
      </c>
      <c r="L35" s="49"/>
      <c r="M35" s="49" t="n">
        <f aca="false">IF(L35,L35*20+100,0)</f>
        <v>0</v>
      </c>
      <c r="N35" s="49"/>
      <c r="O35" s="49" t="n">
        <f aca="false">IF(N35,N35*20+100,0)</f>
        <v>0</v>
      </c>
      <c r="P35" s="49"/>
      <c r="Q35" s="50" t="n">
        <f aca="false">IF(P35,P35*20+100,0)</f>
        <v>0</v>
      </c>
      <c r="R35" s="49"/>
      <c r="S35" s="51" t="n">
        <f aca="false">IF(R35,R35*20+100,0)</f>
        <v>0</v>
      </c>
    </row>
    <row r="36" customFormat="false" ht="33" hidden="false" customHeight="true" outlineLevel="0" collapsed="false">
      <c r="A36" s="56"/>
      <c r="B36" s="57" t="s">
        <v>53</v>
      </c>
      <c r="C36" s="58" t="n">
        <f aca="false">SUM(C6:C35)</f>
        <v>0</v>
      </c>
      <c r="D36" s="57" t="s">
        <v>53</v>
      </c>
      <c r="E36" s="58" t="n">
        <f aca="false">SUM(E6:E35)</f>
        <v>1360</v>
      </c>
      <c r="F36" s="57" t="s">
        <v>53</v>
      </c>
      <c r="G36" s="58" t="n">
        <f aca="false">SUM(G6:G35)</f>
        <v>660</v>
      </c>
      <c r="H36" s="57" t="s">
        <v>53</v>
      </c>
      <c r="I36" s="58" t="n">
        <f aca="false">SUM(I6:I35)</f>
        <v>640</v>
      </c>
      <c r="J36" s="57" t="s">
        <v>53</v>
      </c>
      <c r="K36" s="58" t="n">
        <f aca="false">SUM(K6:K35)</f>
        <v>2020</v>
      </c>
      <c r="L36" s="57" t="s">
        <v>53</v>
      </c>
      <c r="M36" s="58" t="n">
        <f aca="false">SUM(M6:M35)</f>
        <v>3260</v>
      </c>
      <c r="N36" s="57" t="s">
        <v>53</v>
      </c>
      <c r="O36" s="58" t="n">
        <f aca="false">SUM(O6:O35)</f>
        <v>820</v>
      </c>
      <c r="P36" s="57" t="s">
        <v>53</v>
      </c>
      <c r="Q36" s="58" t="n">
        <f aca="false">SUM(Q6:Q35)</f>
        <v>780</v>
      </c>
      <c r="R36" s="57" t="s">
        <v>53</v>
      </c>
      <c r="S36" s="51" t="n">
        <f aca="false">SUM(S6:S35)</f>
        <v>0</v>
      </c>
    </row>
    <row r="37" customFormat="false" ht="41.25" hidden="false" customHeight="true" outlineLevel="0" collapsed="false">
      <c r="A37" s="56"/>
      <c r="B37" s="59" t="s">
        <v>54</v>
      </c>
      <c r="C37" s="58" t="n">
        <f aca="false">IF(C36=0,9,RANK(C36,$C$36:$S$36,0))</f>
        <v>9</v>
      </c>
      <c r="D37" s="59" t="s">
        <v>54</v>
      </c>
      <c r="E37" s="58" t="n">
        <f aca="false">IF(E36=0,9,RANK(E36,$C$36:$S$36,0))</f>
        <v>3</v>
      </c>
      <c r="F37" s="59" t="s">
        <v>54</v>
      </c>
      <c r="G37" s="58" t="n">
        <f aca="false">IF(G36=0,9,RANK(G36,$C$36:$S$36,0))</f>
        <v>6</v>
      </c>
      <c r="H37" s="59" t="s">
        <v>54</v>
      </c>
      <c r="I37" s="58" t="n">
        <f aca="false">IF(I36=0,9,RANK(I36,$C$36:$S$36,0))</f>
        <v>7</v>
      </c>
      <c r="J37" s="59" t="s">
        <v>54</v>
      </c>
      <c r="K37" s="58" t="n">
        <f aca="false">IF(K36=0,9,RANK(K36,$C$36:$S$36,0))</f>
        <v>2</v>
      </c>
      <c r="L37" s="59" t="s">
        <v>54</v>
      </c>
      <c r="M37" s="58" t="n">
        <f aca="false">IF(M36=0,9,RANK(M36,$C$36:$S$36,0))</f>
        <v>1</v>
      </c>
      <c r="N37" s="59" t="s">
        <v>54</v>
      </c>
      <c r="O37" s="58" t="n">
        <f aca="false">IF(O36=0,9,RANK(O36,$C$36:$S$36,0))</f>
        <v>4</v>
      </c>
      <c r="P37" s="59" t="s">
        <v>54</v>
      </c>
      <c r="Q37" s="58" t="n">
        <f aca="false">IF(Q36=0,9,RANK(Q36,$C$36:$S$36,0))</f>
        <v>5</v>
      </c>
      <c r="R37" s="57" t="s">
        <v>54</v>
      </c>
      <c r="S37" s="51" t="n">
        <f aca="false">IF(S36=0,9,RANK(S36,$C$36:$S$36,0))</f>
        <v>9</v>
      </c>
    </row>
    <row r="38" customFormat="false" ht="15" hidden="false" customHeight="true" outlineLevel="0" collapsed="false">
      <c r="A38" s="60"/>
      <c r="B38" s="57" t="s">
        <v>55</v>
      </c>
      <c r="C38" s="49" t="n">
        <f aca="false">COUNT(B6:B35)</f>
        <v>0</v>
      </c>
      <c r="D38" s="57" t="s">
        <v>55</v>
      </c>
      <c r="E38" s="49" t="n">
        <f aca="false">COUNT(D6:D35)</f>
        <v>2</v>
      </c>
      <c r="F38" s="57" t="s">
        <v>55</v>
      </c>
      <c r="G38" s="49" t="n">
        <f aca="false">COUNT(F6:F35)</f>
        <v>1</v>
      </c>
      <c r="H38" s="57" t="s">
        <v>55</v>
      </c>
      <c r="I38" s="49" t="n">
        <f aca="false">COUNT(H6:H35)</f>
        <v>1</v>
      </c>
      <c r="J38" s="57" t="s">
        <v>55</v>
      </c>
      <c r="K38" s="49" t="n">
        <f aca="false">COUNT(J6:J35)</f>
        <v>3</v>
      </c>
      <c r="L38" s="57" t="s">
        <v>55</v>
      </c>
      <c r="M38" s="49" t="n">
        <f aca="false">COUNT(L6:L35)</f>
        <v>4</v>
      </c>
      <c r="N38" s="57" t="s">
        <v>55</v>
      </c>
      <c r="O38" s="49" t="n">
        <f aca="false">COUNT(N6:N35)</f>
        <v>1</v>
      </c>
      <c r="P38" s="57" t="s">
        <v>55</v>
      </c>
      <c r="Q38" s="50" t="n">
        <f aca="false">COUNT(P6:P35)</f>
        <v>1</v>
      </c>
      <c r="R38" s="57" t="s">
        <v>55</v>
      </c>
      <c r="S38" s="51" t="n">
        <f aca="false">COUNT(R6:R35)</f>
        <v>0</v>
      </c>
    </row>
    <row r="39" customFormat="false" ht="15" hidden="false" customHeight="false" outlineLevel="0" collapsed="false">
      <c r="A39" s="60"/>
      <c r="B39" s="57"/>
      <c r="C39" s="49"/>
      <c r="D39" s="57"/>
      <c r="E39" s="49"/>
      <c r="F39" s="57"/>
      <c r="G39" s="49"/>
      <c r="H39" s="57"/>
      <c r="I39" s="49"/>
      <c r="J39" s="57"/>
      <c r="K39" s="49"/>
      <c r="L39" s="57"/>
      <c r="M39" s="49"/>
      <c r="N39" s="57"/>
      <c r="O39" s="49"/>
      <c r="P39" s="57"/>
      <c r="Q39" s="50"/>
      <c r="R39" s="57"/>
      <c r="S39" s="51"/>
    </row>
    <row r="40" customFormat="false" ht="15" hidden="false" customHeight="false" outlineLevel="0" collapsed="false">
      <c r="A40" s="60"/>
      <c r="B40" s="57"/>
      <c r="C40" s="49"/>
      <c r="D40" s="57"/>
      <c r="E40" s="49"/>
      <c r="F40" s="57"/>
      <c r="G40" s="49"/>
      <c r="H40" s="57"/>
      <c r="I40" s="49"/>
      <c r="J40" s="57"/>
      <c r="K40" s="49"/>
      <c r="L40" s="57"/>
      <c r="M40" s="49"/>
      <c r="N40" s="57"/>
      <c r="O40" s="49"/>
      <c r="P40" s="57"/>
      <c r="Q40" s="50"/>
      <c r="R40" s="57"/>
      <c r="S40" s="51"/>
    </row>
    <row r="41" customFormat="false" ht="40.5" hidden="false" customHeight="true" outlineLevel="0" collapsed="false">
      <c r="A41" s="61"/>
      <c r="B41" s="62" t="s">
        <v>56</v>
      </c>
      <c r="C41" s="63" t="n">
        <f aca="false">MAX(B6:B35)</f>
        <v>0</v>
      </c>
      <c r="D41" s="62" t="s">
        <v>56</v>
      </c>
      <c r="E41" s="63" t="n">
        <f aca="false">MAX(D6:D35)</f>
        <v>34</v>
      </c>
      <c r="F41" s="62" t="s">
        <v>56</v>
      </c>
      <c r="G41" s="63" t="n">
        <f aca="false">MAX(F6:F35)</f>
        <v>28</v>
      </c>
      <c r="H41" s="62" t="s">
        <v>56</v>
      </c>
      <c r="I41" s="63" t="n">
        <f aca="false">MAX(H6:H35)</f>
        <v>27</v>
      </c>
      <c r="J41" s="62" t="s">
        <v>56</v>
      </c>
      <c r="K41" s="63" t="n">
        <f aca="false">MAX(J6:J35)</f>
        <v>30</v>
      </c>
      <c r="L41" s="62" t="s">
        <v>56</v>
      </c>
      <c r="M41" s="63" t="n">
        <f aca="false">MAX(L6:L35)</f>
        <v>46</v>
      </c>
      <c r="N41" s="62" t="s">
        <v>56</v>
      </c>
      <c r="O41" s="63" t="n">
        <f aca="false">MAX(N6:N35)</f>
        <v>36</v>
      </c>
      <c r="P41" s="62" t="s">
        <v>56</v>
      </c>
      <c r="Q41" s="64" t="n">
        <f aca="false">MAX(P6:P35)</f>
        <v>34</v>
      </c>
      <c r="R41" s="62" t="s">
        <v>56</v>
      </c>
      <c r="S41" s="65" t="n">
        <f aca="false">MAX(R6:R35)</f>
        <v>0</v>
      </c>
    </row>
    <row r="46" customFormat="false" ht="15" hidden="false" customHeight="true" outlineLevel="0" collapsed="false">
      <c r="A46" s="13" t="s">
        <v>57</v>
      </c>
      <c r="B46" s="13"/>
      <c r="C46" s="13"/>
      <c r="D46" s="13"/>
      <c r="E46" s="13"/>
      <c r="F46" s="13"/>
      <c r="G46" s="13"/>
      <c r="H46" s="13"/>
      <c r="I46" s="13"/>
      <c r="J46" s="13"/>
      <c r="K46" s="13"/>
      <c r="L46" s="13"/>
      <c r="M46" s="13"/>
      <c r="N46" s="13"/>
      <c r="O46" s="13"/>
      <c r="P46" s="13"/>
      <c r="Q46" s="13"/>
      <c r="R46" s="13"/>
      <c r="S46" s="13"/>
    </row>
    <row r="47" customFormat="false" ht="15" hidden="false" customHeight="true" outlineLevel="0" collapsed="false">
      <c r="A47" s="13"/>
      <c r="B47" s="13"/>
      <c r="C47" s="13"/>
      <c r="D47" s="13"/>
      <c r="E47" s="13"/>
      <c r="F47" s="13"/>
      <c r="G47" s="13"/>
      <c r="H47" s="13"/>
      <c r="I47" s="13"/>
      <c r="J47" s="13"/>
      <c r="K47" s="13"/>
      <c r="L47" s="13"/>
      <c r="M47" s="13"/>
      <c r="N47" s="13"/>
      <c r="O47" s="13"/>
      <c r="P47" s="13"/>
      <c r="Q47" s="13"/>
      <c r="R47" s="13"/>
      <c r="S47" s="13"/>
    </row>
    <row r="48" customFormat="false" ht="15" hidden="false" customHeight="true" outlineLevel="0" collapsed="false">
      <c r="A48" s="48" t="s">
        <v>49</v>
      </c>
      <c r="B48" s="49" t="s">
        <v>50</v>
      </c>
      <c r="C48" s="49"/>
      <c r="D48" s="49" t="s">
        <v>50</v>
      </c>
      <c r="E48" s="49"/>
      <c r="F48" s="49" t="s">
        <v>50</v>
      </c>
      <c r="G48" s="49"/>
      <c r="H48" s="49" t="s">
        <v>50</v>
      </c>
      <c r="I48" s="49"/>
      <c r="J48" s="49" t="s">
        <v>50</v>
      </c>
      <c r="K48" s="49"/>
      <c r="L48" s="49" t="s">
        <v>50</v>
      </c>
      <c r="M48" s="49"/>
      <c r="N48" s="49" t="s">
        <v>50</v>
      </c>
      <c r="O48" s="49"/>
      <c r="P48" s="50" t="s">
        <v>50</v>
      </c>
      <c r="Q48" s="50"/>
      <c r="R48" s="51" t="s">
        <v>50</v>
      </c>
      <c r="S48" s="51"/>
    </row>
    <row r="49" customFormat="false" ht="17.35" hidden="false" customHeight="false" outlineLevel="0" collapsed="false">
      <c r="A49" s="48"/>
      <c r="B49" s="52" t="str">
        <f aca="false">TABELA!F10</f>
        <v>MILJAN ANĐIĆ</v>
      </c>
      <c r="C49" s="52"/>
      <c r="D49" s="52" t="str">
        <f aca="false">TABELA!F11</f>
        <v>ARSO JEREMIĆ</v>
      </c>
      <c r="E49" s="52"/>
      <c r="F49" s="52" t="str">
        <f aca="false">TABELA!F12</f>
        <v>NIKOLA ĐALOVIĆ</v>
      </c>
      <c r="G49" s="52"/>
      <c r="H49" s="52" t="str">
        <f aca="false">TABELA!F13</f>
        <v>SAVO RAIČEVIĆ</v>
      </c>
      <c r="I49" s="52"/>
      <c r="J49" s="52" t="str">
        <f aca="false">TABELA!F14</f>
        <v>RADOVAN KRKOVIĆ</v>
      </c>
      <c r="K49" s="52"/>
      <c r="L49" s="52" t="str">
        <f aca="false">TABELA!F15</f>
        <v>ALEKSANDAR GAŠEVIĆ</v>
      </c>
      <c r="M49" s="52"/>
      <c r="N49" s="52" t="str">
        <f aca="false">TABELA!F16</f>
        <v>MILUN ĐUROVIĆ</v>
      </c>
      <c r="O49" s="52"/>
      <c r="P49" s="53" t="str">
        <f aca="false">TABELA!F17</f>
        <v>KEMAL AJANOVIĆ</v>
      </c>
      <c r="Q49" s="53"/>
      <c r="R49" s="54" t="str">
        <f aca="false">TABELA!F18</f>
        <v>DAMIR CANOVIĆ</v>
      </c>
      <c r="S49" s="54"/>
    </row>
    <row r="50" customFormat="false" ht="15" hidden="false" customHeight="false" outlineLevel="0" collapsed="false">
      <c r="A50" s="48"/>
      <c r="B50" s="49" t="s">
        <v>51</v>
      </c>
      <c r="C50" s="49" t="s">
        <v>52</v>
      </c>
      <c r="D50" s="49" t="s">
        <v>51</v>
      </c>
      <c r="E50" s="49" t="s">
        <v>52</v>
      </c>
      <c r="F50" s="49" t="s">
        <v>51</v>
      </c>
      <c r="G50" s="49" t="s">
        <v>52</v>
      </c>
      <c r="H50" s="49" t="s">
        <v>51</v>
      </c>
      <c r="I50" s="49" t="s">
        <v>52</v>
      </c>
      <c r="J50" s="49" t="s">
        <v>51</v>
      </c>
      <c r="K50" s="49" t="s">
        <v>52</v>
      </c>
      <c r="L50" s="49" t="s">
        <v>51</v>
      </c>
      <c r="M50" s="49" t="s">
        <v>52</v>
      </c>
      <c r="N50" s="49" t="s">
        <v>51</v>
      </c>
      <c r="O50" s="49" t="s">
        <v>52</v>
      </c>
      <c r="P50" s="49" t="s">
        <v>51</v>
      </c>
      <c r="Q50" s="50" t="s">
        <v>52</v>
      </c>
      <c r="R50" s="49" t="s">
        <v>51</v>
      </c>
      <c r="S50" s="51" t="s">
        <v>52</v>
      </c>
    </row>
    <row r="51" customFormat="false" ht="15" hidden="false" customHeight="false" outlineLevel="0" collapsed="false">
      <c r="A51" s="55" t="n">
        <v>1</v>
      </c>
      <c r="B51" s="49" t="n">
        <v>27</v>
      </c>
      <c r="C51" s="49" t="n">
        <f aca="false">IF(B51,B51*20+100,0)</f>
        <v>640</v>
      </c>
      <c r="D51" s="49" t="n">
        <v>32</v>
      </c>
      <c r="E51" s="49" t="n">
        <f aca="false">IF(D51,D51*20+100,0)</f>
        <v>740</v>
      </c>
      <c r="F51" s="49" t="n">
        <v>21</v>
      </c>
      <c r="G51" s="49" t="n">
        <f aca="false">IF(F51,F51*20+100,0)</f>
        <v>520</v>
      </c>
      <c r="H51" s="49"/>
      <c r="I51" s="49" t="n">
        <f aca="false">IF(H51,H51*20+100,0)</f>
        <v>0</v>
      </c>
      <c r="J51" s="49" t="n">
        <v>27</v>
      </c>
      <c r="K51" s="49" t="n">
        <f aca="false">IF(J51,J51*20+100,0)</f>
        <v>640</v>
      </c>
      <c r="L51" s="49" t="n">
        <v>27</v>
      </c>
      <c r="M51" s="49" t="n">
        <f aca="false">IF(L51,L51*20+100,0)</f>
        <v>640</v>
      </c>
      <c r="N51" s="49"/>
      <c r="O51" s="49" t="n">
        <f aca="false">IF(N51,N51*20+100,0)</f>
        <v>0</v>
      </c>
      <c r="P51" s="49" t="n">
        <v>27</v>
      </c>
      <c r="Q51" s="50" t="n">
        <f aca="false">IF(P51,P51*20+100,0)</f>
        <v>640</v>
      </c>
      <c r="R51" s="49" t="n">
        <v>38</v>
      </c>
      <c r="S51" s="51" t="n">
        <f aca="false">IF(R51,R51*20+100,0)</f>
        <v>860</v>
      </c>
    </row>
    <row r="52" customFormat="false" ht="15" hidden="false" customHeight="false" outlineLevel="0" collapsed="false">
      <c r="A52" s="55" t="n">
        <v>2</v>
      </c>
      <c r="B52" s="49" t="n">
        <v>25</v>
      </c>
      <c r="C52" s="49" t="n">
        <f aca="false">IF(B52,B52*20+100,0)</f>
        <v>600</v>
      </c>
      <c r="D52" s="49" t="n">
        <v>20</v>
      </c>
      <c r="E52" s="49" t="n">
        <f aca="false">IF(D52,D52*20+100,0)</f>
        <v>500</v>
      </c>
      <c r="F52" s="49"/>
      <c r="G52" s="49" t="n">
        <f aca="false">IF(F52,F52*20+100,0)</f>
        <v>0</v>
      </c>
      <c r="H52" s="49"/>
      <c r="I52" s="49" t="n">
        <f aca="false">IF(H52,H52*20+100,0)</f>
        <v>0</v>
      </c>
      <c r="J52" s="49" t="n">
        <v>28</v>
      </c>
      <c r="K52" s="49" t="n">
        <f aca="false">IF(J52,J52*20+100,0)</f>
        <v>660</v>
      </c>
      <c r="L52" s="49" t="n">
        <v>26</v>
      </c>
      <c r="M52" s="49" t="n">
        <f aca="false">IF(L52,L52*20+100,0)</f>
        <v>620</v>
      </c>
      <c r="N52" s="49"/>
      <c r="O52" s="49" t="n">
        <f aca="false">IF(N52,N52*20+100,0)</f>
        <v>0</v>
      </c>
      <c r="P52" s="49"/>
      <c r="Q52" s="50" t="n">
        <f aca="false">IF(P52,P52*20+100,0)</f>
        <v>0</v>
      </c>
      <c r="R52" s="49"/>
      <c r="S52" s="51" t="n">
        <f aca="false">IF(R52,R52*20+100,0)</f>
        <v>0</v>
      </c>
    </row>
    <row r="53" customFormat="false" ht="15" hidden="false" customHeight="false" outlineLevel="0" collapsed="false">
      <c r="A53" s="55" t="n">
        <v>3</v>
      </c>
      <c r="B53" s="49"/>
      <c r="C53" s="49" t="n">
        <f aca="false">IF(B53,B53*20+100,0)</f>
        <v>0</v>
      </c>
      <c r="D53" s="49" t="n">
        <v>22</v>
      </c>
      <c r="E53" s="49" t="n">
        <f aca="false">IF(D53,D53*20+100,0)</f>
        <v>540</v>
      </c>
      <c r="F53" s="49"/>
      <c r="G53" s="49" t="n">
        <f aca="false">IF(F53,F53*20+100,0)</f>
        <v>0</v>
      </c>
      <c r="H53" s="49"/>
      <c r="I53" s="49" t="n">
        <f aca="false">IF(H53,H53*20+100,0)</f>
        <v>0</v>
      </c>
      <c r="J53" s="49"/>
      <c r="K53" s="49" t="n">
        <f aca="false">IF(J53,J53*20+100,0)</f>
        <v>0</v>
      </c>
      <c r="L53" s="49" t="n">
        <v>26</v>
      </c>
      <c r="M53" s="49" t="n">
        <f aca="false">IF(L53,L53*20+100,0)</f>
        <v>620</v>
      </c>
      <c r="N53" s="49"/>
      <c r="O53" s="49" t="n">
        <f aca="false">IF(N53,N53*20+100,0)</f>
        <v>0</v>
      </c>
      <c r="P53" s="49"/>
      <c r="Q53" s="50" t="n">
        <f aca="false">IF(P53,P53*20+100,0)</f>
        <v>0</v>
      </c>
      <c r="R53" s="49"/>
      <c r="S53" s="51" t="n">
        <f aca="false">IF(R53,R53*20+100,0)</f>
        <v>0</v>
      </c>
    </row>
    <row r="54" customFormat="false" ht="15" hidden="false" customHeight="false" outlineLevel="0" collapsed="false">
      <c r="A54" s="55" t="n">
        <v>4</v>
      </c>
      <c r="B54" s="49"/>
      <c r="C54" s="49" t="n">
        <f aca="false">IF(B54,B54*20+100,0)</f>
        <v>0</v>
      </c>
      <c r="D54" s="49"/>
      <c r="E54" s="49" t="n">
        <f aca="false">IF(D54,D54*20+100,0)</f>
        <v>0</v>
      </c>
      <c r="F54" s="49"/>
      <c r="G54" s="49" t="n">
        <f aca="false">IF(F54,F54*20+100,0)</f>
        <v>0</v>
      </c>
      <c r="H54" s="49"/>
      <c r="I54" s="49" t="n">
        <f aca="false">IF(H54,H54*20+100,0)</f>
        <v>0</v>
      </c>
      <c r="J54" s="49"/>
      <c r="K54" s="49" t="n">
        <f aca="false">IF(J54,J54*20+100,0)</f>
        <v>0</v>
      </c>
      <c r="L54" s="49" t="n">
        <v>27</v>
      </c>
      <c r="M54" s="49" t="n">
        <f aca="false">IF(L54,L54*20+100,0)</f>
        <v>640</v>
      </c>
      <c r="N54" s="49"/>
      <c r="O54" s="49" t="n">
        <f aca="false">IF(N54,N54*20+100,0)</f>
        <v>0</v>
      </c>
      <c r="P54" s="49"/>
      <c r="Q54" s="50" t="n">
        <f aca="false">IF(P54,P54*20+100,0)</f>
        <v>0</v>
      </c>
      <c r="R54" s="49"/>
      <c r="S54" s="51" t="n">
        <f aca="false">IF(R54,R54*20+100,0)</f>
        <v>0</v>
      </c>
    </row>
    <row r="55" customFormat="false" ht="15" hidden="false" customHeight="false" outlineLevel="0" collapsed="false">
      <c r="A55" s="55" t="n">
        <v>5</v>
      </c>
      <c r="B55" s="49"/>
      <c r="C55" s="49" t="n">
        <f aca="false">IF(B55,B55*20+100,0)</f>
        <v>0</v>
      </c>
      <c r="D55" s="49"/>
      <c r="E55" s="49" t="n">
        <f aca="false">IF(D55,D55*20+100,0)</f>
        <v>0</v>
      </c>
      <c r="F55" s="49"/>
      <c r="G55" s="49" t="n">
        <f aca="false">IF(F55,F55*20+100,0)</f>
        <v>0</v>
      </c>
      <c r="H55" s="49"/>
      <c r="I55" s="49" t="n">
        <f aca="false">IF(H55,H55*20+100,0)</f>
        <v>0</v>
      </c>
      <c r="J55" s="49"/>
      <c r="K55" s="49" t="n">
        <f aca="false">IF(J55,J55*20+100,0)</f>
        <v>0</v>
      </c>
      <c r="L55" s="49" t="n">
        <v>27</v>
      </c>
      <c r="M55" s="49" t="n">
        <f aca="false">IF(L55,L55*20+100,0)</f>
        <v>640</v>
      </c>
      <c r="N55" s="49"/>
      <c r="O55" s="49" t="n">
        <f aca="false">IF(N55,N55*20+100,0)</f>
        <v>0</v>
      </c>
      <c r="P55" s="49"/>
      <c r="Q55" s="50" t="n">
        <f aca="false">IF(P55,P55*20+100,0)</f>
        <v>0</v>
      </c>
      <c r="R55" s="49"/>
      <c r="S55" s="51" t="n">
        <f aca="false">IF(R55,R55*20+100,0)</f>
        <v>0</v>
      </c>
    </row>
    <row r="56" customFormat="false" ht="15" hidden="false" customHeight="false" outlineLevel="0" collapsed="false">
      <c r="A56" s="55" t="n">
        <v>6</v>
      </c>
      <c r="B56" s="49"/>
      <c r="C56" s="49" t="n">
        <f aca="false">IF(B56,B56*20+100,0)</f>
        <v>0</v>
      </c>
      <c r="D56" s="49"/>
      <c r="E56" s="49" t="n">
        <f aca="false">IF(D56,D56*20+100,0)</f>
        <v>0</v>
      </c>
      <c r="F56" s="49"/>
      <c r="G56" s="49" t="n">
        <f aca="false">IF(F56,F56*20+100,0)</f>
        <v>0</v>
      </c>
      <c r="H56" s="49"/>
      <c r="I56" s="49" t="n">
        <f aca="false">IF(H56,H56*20+100,0)</f>
        <v>0</v>
      </c>
      <c r="J56" s="49"/>
      <c r="K56" s="49" t="n">
        <f aca="false">IF(J56,J56*20+100,0)</f>
        <v>0</v>
      </c>
      <c r="L56" s="49"/>
      <c r="M56" s="49" t="n">
        <f aca="false">IF(L56,L56*20+100,0)</f>
        <v>0</v>
      </c>
      <c r="N56" s="49"/>
      <c r="O56" s="49" t="n">
        <f aca="false">IF(N56,N56*20+100,0)</f>
        <v>0</v>
      </c>
      <c r="P56" s="49"/>
      <c r="Q56" s="50" t="n">
        <f aca="false">IF(P56,P56*20+100,0)</f>
        <v>0</v>
      </c>
      <c r="R56" s="49"/>
      <c r="S56" s="51" t="n">
        <f aca="false">IF(R56,R56*20+100,0)</f>
        <v>0</v>
      </c>
    </row>
    <row r="57" customFormat="false" ht="15" hidden="false" customHeight="false" outlineLevel="0" collapsed="false">
      <c r="A57" s="55" t="n">
        <v>7</v>
      </c>
      <c r="B57" s="49"/>
      <c r="C57" s="49" t="n">
        <f aca="false">IF(B57,B57*20+100,0)</f>
        <v>0</v>
      </c>
      <c r="D57" s="49"/>
      <c r="E57" s="49" t="n">
        <f aca="false">IF(D57,D57*20+100,0)</f>
        <v>0</v>
      </c>
      <c r="F57" s="49"/>
      <c r="G57" s="49" t="n">
        <f aca="false">IF(F57,F57*20+100,0)</f>
        <v>0</v>
      </c>
      <c r="H57" s="49"/>
      <c r="I57" s="49" t="n">
        <f aca="false">IF(H57,H57*20+100,0)</f>
        <v>0</v>
      </c>
      <c r="J57" s="49"/>
      <c r="K57" s="49" t="n">
        <f aca="false">IF(J57,J57*20+100,0)</f>
        <v>0</v>
      </c>
      <c r="L57" s="49"/>
      <c r="M57" s="49" t="n">
        <f aca="false">IF(L57,L57*20+100,0)</f>
        <v>0</v>
      </c>
      <c r="N57" s="49"/>
      <c r="O57" s="49" t="n">
        <f aca="false">IF(N57,N57*20+100,0)</f>
        <v>0</v>
      </c>
      <c r="P57" s="49"/>
      <c r="Q57" s="50" t="n">
        <f aca="false">IF(P57,P57*20+100,0)</f>
        <v>0</v>
      </c>
      <c r="R57" s="49"/>
      <c r="S57" s="51" t="n">
        <f aca="false">IF(R57,R57*20+100,0)</f>
        <v>0</v>
      </c>
    </row>
    <row r="58" customFormat="false" ht="15" hidden="false" customHeight="false" outlineLevel="0" collapsed="false">
      <c r="A58" s="55" t="n">
        <v>8</v>
      </c>
      <c r="B58" s="49"/>
      <c r="C58" s="49" t="n">
        <f aca="false">IF(B58,B58*20+100,0)</f>
        <v>0</v>
      </c>
      <c r="D58" s="49"/>
      <c r="E58" s="49" t="n">
        <f aca="false">IF(D58,D58*20+100,0)</f>
        <v>0</v>
      </c>
      <c r="F58" s="49"/>
      <c r="G58" s="49" t="n">
        <f aca="false">IF(F58,F58*20+100,0)</f>
        <v>0</v>
      </c>
      <c r="H58" s="49"/>
      <c r="I58" s="49" t="n">
        <f aca="false">IF(H58,H58*20+100,0)</f>
        <v>0</v>
      </c>
      <c r="J58" s="49"/>
      <c r="K58" s="49" t="n">
        <f aca="false">IF(J58,J58*20+100,0)</f>
        <v>0</v>
      </c>
      <c r="L58" s="49"/>
      <c r="M58" s="49" t="n">
        <f aca="false">IF(L58,L58*20+100,0)</f>
        <v>0</v>
      </c>
      <c r="N58" s="49"/>
      <c r="O58" s="49" t="n">
        <f aca="false">IF(N58,N58*20+100,0)</f>
        <v>0</v>
      </c>
      <c r="P58" s="49"/>
      <c r="Q58" s="50" t="n">
        <f aca="false">IF(P58,P58*20+100,0)</f>
        <v>0</v>
      </c>
      <c r="R58" s="49"/>
      <c r="S58" s="51" t="n">
        <f aca="false">IF(R58,R58*20+100,0)</f>
        <v>0</v>
      </c>
    </row>
    <row r="59" customFormat="false" ht="15" hidden="false" customHeight="false" outlineLevel="0" collapsed="false">
      <c r="A59" s="55" t="n">
        <v>9</v>
      </c>
      <c r="B59" s="49"/>
      <c r="C59" s="49" t="n">
        <f aca="false">IF(B59,B59*20+100,0)</f>
        <v>0</v>
      </c>
      <c r="D59" s="49"/>
      <c r="E59" s="49" t="n">
        <f aca="false">IF(D59,D59*20+100,0)</f>
        <v>0</v>
      </c>
      <c r="F59" s="49"/>
      <c r="G59" s="49" t="n">
        <f aca="false">IF(F59,F59*20+100,0)</f>
        <v>0</v>
      </c>
      <c r="H59" s="49"/>
      <c r="I59" s="49" t="n">
        <f aca="false">IF(H59,H59*20+100,0)</f>
        <v>0</v>
      </c>
      <c r="J59" s="49"/>
      <c r="K59" s="49" t="n">
        <f aca="false">IF(J59,J59*20+100,0)</f>
        <v>0</v>
      </c>
      <c r="L59" s="49"/>
      <c r="M59" s="49" t="n">
        <f aca="false">IF(L59,L59*20+100,0)</f>
        <v>0</v>
      </c>
      <c r="N59" s="49"/>
      <c r="O59" s="49" t="n">
        <f aca="false">IF(N59,N59*20+100,0)</f>
        <v>0</v>
      </c>
      <c r="P59" s="49"/>
      <c r="Q59" s="50" t="n">
        <f aca="false">IF(P59,P59*20+100,0)</f>
        <v>0</v>
      </c>
      <c r="R59" s="49"/>
      <c r="S59" s="51" t="n">
        <f aca="false">IF(R59,R59*20+100,0)</f>
        <v>0</v>
      </c>
    </row>
    <row r="60" customFormat="false" ht="15" hidden="false" customHeight="false" outlineLevel="0" collapsed="false">
      <c r="A60" s="55" t="n">
        <v>10</v>
      </c>
      <c r="B60" s="49"/>
      <c r="C60" s="49" t="n">
        <f aca="false">IF(B60,B60*20+100,0)</f>
        <v>0</v>
      </c>
      <c r="D60" s="49"/>
      <c r="E60" s="49" t="n">
        <f aca="false">IF(D60,D60*20+100,0)</f>
        <v>0</v>
      </c>
      <c r="F60" s="49"/>
      <c r="G60" s="49" t="n">
        <f aca="false">IF(F60,F60*20+100,0)</f>
        <v>0</v>
      </c>
      <c r="H60" s="49"/>
      <c r="I60" s="49" t="n">
        <f aca="false">IF(H60,H60*20+100,0)</f>
        <v>0</v>
      </c>
      <c r="J60" s="49"/>
      <c r="K60" s="49" t="n">
        <f aca="false">IF(J60,J60*20+100,0)</f>
        <v>0</v>
      </c>
      <c r="L60" s="49"/>
      <c r="M60" s="49" t="n">
        <f aca="false">IF(L60,L60*20+100,0)</f>
        <v>0</v>
      </c>
      <c r="N60" s="49"/>
      <c r="O60" s="49" t="n">
        <f aca="false">IF(N60,N60*20+100,0)</f>
        <v>0</v>
      </c>
      <c r="P60" s="49"/>
      <c r="Q60" s="50" t="n">
        <f aca="false">IF(P60,P60*20+100,0)</f>
        <v>0</v>
      </c>
      <c r="R60" s="49"/>
      <c r="S60" s="51" t="n">
        <f aca="false">IF(R60,R60*20+100,0)</f>
        <v>0</v>
      </c>
    </row>
    <row r="61" customFormat="false" ht="15" hidden="false" customHeight="false" outlineLevel="0" collapsed="false">
      <c r="A61" s="55" t="n">
        <v>11</v>
      </c>
      <c r="B61" s="49"/>
      <c r="C61" s="49" t="n">
        <f aca="false">IF(B61,B61*20+100,0)</f>
        <v>0</v>
      </c>
      <c r="D61" s="49"/>
      <c r="E61" s="49" t="n">
        <f aca="false">IF(D61,D61*20+100,0)</f>
        <v>0</v>
      </c>
      <c r="F61" s="49"/>
      <c r="G61" s="49" t="n">
        <f aca="false">IF(F61,F61*20+100,0)</f>
        <v>0</v>
      </c>
      <c r="H61" s="49"/>
      <c r="I61" s="49" t="n">
        <f aca="false">IF(H61,H61*20+100,0)</f>
        <v>0</v>
      </c>
      <c r="J61" s="49"/>
      <c r="K61" s="49" t="n">
        <f aca="false">IF(J61,J61*20+100,0)</f>
        <v>0</v>
      </c>
      <c r="L61" s="49"/>
      <c r="M61" s="49" t="n">
        <f aca="false">IF(L61,L61*20+100,0)</f>
        <v>0</v>
      </c>
      <c r="N61" s="49"/>
      <c r="O61" s="49" t="n">
        <f aca="false">IF(N61,N61*20+100,0)</f>
        <v>0</v>
      </c>
      <c r="P61" s="49"/>
      <c r="Q61" s="50" t="n">
        <f aca="false">IF(P61,P61*20+100,0)</f>
        <v>0</v>
      </c>
      <c r="R61" s="49"/>
      <c r="S61" s="51" t="n">
        <f aca="false">IF(R61,R61*20+100,0)</f>
        <v>0</v>
      </c>
    </row>
    <row r="62" customFormat="false" ht="15" hidden="false" customHeight="false" outlineLevel="0" collapsed="false">
      <c r="A62" s="55" t="n">
        <v>12</v>
      </c>
      <c r="B62" s="49"/>
      <c r="C62" s="49" t="n">
        <f aca="false">IF(B62,B62*20+100,0)</f>
        <v>0</v>
      </c>
      <c r="D62" s="49"/>
      <c r="E62" s="49" t="n">
        <f aca="false">IF(D62,D62*20+100,0)</f>
        <v>0</v>
      </c>
      <c r="F62" s="49"/>
      <c r="G62" s="49" t="n">
        <f aca="false">IF(F62,F62*20+100,0)</f>
        <v>0</v>
      </c>
      <c r="H62" s="49"/>
      <c r="I62" s="49" t="n">
        <f aca="false">IF(H62,H62*20+100,0)</f>
        <v>0</v>
      </c>
      <c r="J62" s="49"/>
      <c r="K62" s="49" t="n">
        <f aca="false">IF(J62,J62*20+100,0)</f>
        <v>0</v>
      </c>
      <c r="L62" s="49"/>
      <c r="M62" s="49" t="n">
        <f aca="false">IF(L62,L62*20+100,0)</f>
        <v>0</v>
      </c>
      <c r="N62" s="49"/>
      <c r="O62" s="49" t="n">
        <f aca="false">IF(N62,N62*20+100,0)</f>
        <v>0</v>
      </c>
      <c r="P62" s="49"/>
      <c r="Q62" s="50" t="n">
        <f aca="false">IF(P62,P62*20+100,0)</f>
        <v>0</v>
      </c>
      <c r="R62" s="49"/>
      <c r="S62" s="51" t="n">
        <f aca="false">IF(R62,R62*20+100,0)</f>
        <v>0</v>
      </c>
    </row>
    <row r="63" customFormat="false" ht="15" hidden="false" customHeight="false" outlineLevel="0" collapsed="false">
      <c r="A63" s="55" t="n">
        <v>13</v>
      </c>
      <c r="B63" s="49"/>
      <c r="C63" s="49" t="n">
        <f aca="false">IF(B63,B63*20+100,0)</f>
        <v>0</v>
      </c>
      <c r="D63" s="49"/>
      <c r="E63" s="49" t="n">
        <f aca="false">IF(D63,D63*20+100,0)</f>
        <v>0</v>
      </c>
      <c r="F63" s="49"/>
      <c r="G63" s="49" t="n">
        <f aca="false">IF(F63,F63*20+100,0)</f>
        <v>0</v>
      </c>
      <c r="H63" s="49"/>
      <c r="I63" s="49" t="n">
        <f aca="false">IF(H63,H63*20+100,0)</f>
        <v>0</v>
      </c>
      <c r="J63" s="49"/>
      <c r="K63" s="49" t="n">
        <f aca="false">IF(J63,J63*20+100,0)</f>
        <v>0</v>
      </c>
      <c r="L63" s="49"/>
      <c r="M63" s="49" t="n">
        <f aca="false">IF(L63,L63*20+100,0)</f>
        <v>0</v>
      </c>
      <c r="N63" s="49"/>
      <c r="O63" s="49" t="n">
        <f aca="false">IF(N63,N63*20+100,0)</f>
        <v>0</v>
      </c>
      <c r="P63" s="49"/>
      <c r="Q63" s="50" t="n">
        <f aca="false">IF(P63,P63*20+100,0)</f>
        <v>0</v>
      </c>
      <c r="R63" s="49"/>
      <c r="S63" s="51" t="n">
        <f aca="false">IF(R63,R63*20+100,0)</f>
        <v>0</v>
      </c>
    </row>
    <row r="64" customFormat="false" ht="15" hidden="false" customHeight="false" outlineLevel="0" collapsed="false">
      <c r="A64" s="55" t="n">
        <v>14</v>
      </c>
      <c r="B64" s="49"/>
      <c r="C64" s="49" t="n">
        <f aca="false">IF(B64,B64*20+100,0)</f>
        <v>0</v>
      </c>
      <c r="D64" s="49"/>
      <c r="E64" s="49" t="n">
        <f aca="false">IF(D64,D64*20+100,0)</f>
        <v>0</v>
      </c>
      <c r="F64" s="49"/>
      <c r="G64" s="49" t="n">
        <f aca="false">IF(F64,F64*20+100,0)</f>
        <v>0</v>
      </c>
      <c r="H64" s="49"/>
      <c r="I64" s="49" t="n">
        <f aca="false">IF(H64,H64*20+100,0)</f>
        <v>0</v>
      </c>
      <c r="J64" s="49"/>
      <c r="K64" s="49" t="n">
        <f aca="false">IF(J64,J64*20+100,0)</f>
        <v>0</v>
      </c>
      <c r="L64" s="49"/>
      <c r="M64" s="49" t="n">
        <f aca="false">IF(L64,L64*20+100,0)</f>
        <v>0</v>
      </c>
      <c r="N64" s="49"/>
      <c r="O64" s="49" t="n">
        <f aca="false">IF(N64,N64*20+100,0)</f>
        <v>0</v>
      </c>
      <c r="P64" s="49"/>
      <c r="Q64" s="50" t="n">
        <f aca="false">IF(P64,P64*20+100,0)</f>
        <v>0</v>
      </c>
      <c r="R64" s="49"/>
      <c r="S64" s="51" t="n">
        <f aca="false">IF(R64,R64*20+100,0)</f>
        <v>0</v>
      </c>
    </row>
    <row r="65" customFormat="false" ht="15" hidden="false" customHeight="false" outlineLevel="0" collapsed="false">
      <c r="A65" s="55" t="n">
        <v>15</v>
      </c>
      <c r="B65" s="49"/>
      <c r="C65" s="49" t="n">
        <f aca="false">IF(B65,B65*20+100,0)</f>
        <v>0</v>
      </c>
      <c r="D65" s="49"/>
      <c r="E65" s="49" t="n">
        <f aca="false">IF(D65,D65*20+100,0)</f>
        <v>0</v>
      </c>
      <c r="F65" s="49"/>
      <c r="G65" s="49" t="n">
        <f aca="false">IF(F65,F65*20+100,0)</f>
        <v>0</v>
      </c>
      <c r="H65" s="49"/>
      <c r="I65" s="49" t="n">
        <f aca="false">IF(H65,H65*20+100,0)</f>
        <v>0</v>
      </c>
      <c r="J65" s="49"/>
      <c r="K65" s="49" t="n">
        <f aca="false">IF(J65,J65*20+100,0)</f>
        <v>0</v>
      </c>
      <c r="L65" s="49"/>
      <c r="M65" s="49" t="n">
        <f aca="false">IF(L65,L65*20+100,0)</f>
        <v>0</v>
      </c>
      <c r="N65" s="49"/>
      <c r="O65" s="49" t="n">
        <f aca="false">IF(N65,N65*20+100,0)</f>
        <v>0</v>
      </c>
      <c r="P65" s="49"/>
      <c r="Q65" s="50" t="n">
        <f aca="false">IF(P65,P65*20+100,0)</f>
        <v>0</v>
      </c>
      <c r="R65" s="49"/>
      <c r="S65" s="51" t="n">
        <f aca="false">IF(R65,R65*20+100,0)</f>
        <v>0</v>
      </c>
    </row>
    <row r="66" customFormat="false" ht="15" hidden="false" customHeight="false" outlineLevel="0" collapsed="false">
      <c r="A66" s="55" t="n">
        <v>16</v>
      </c>
      <c r="B66" s="49"/>
      <c r="C66" s="49" t="n">
        <f aca="false">IF(B66,B66*20+100,0)</f>
        <v>0</v>
      </c>
      <c r="D66" s="49"/>
      <c r="E66" s="49" t="n">
        <f aca="false">IF(D66,D66*20+100,0)</f>
        <v>0</v>
      </c>
      <c r="F66" s="49"/>
      <c r="G66" s="49" t="n">
        <f aca="false">IF(F66,F66*20+100,0)</f>
        <v>0</v>
      </c>
      <c r="H66" s="49"/>
      <c r="I66" s="49" t="n">
        <f aca="false">IF(H66,H66*20+100,0)</f>
        <v>0</v>
      </c>
      <c r="J66" s="49"/>
      <c r="K66" s="49" t="n">
        <f aca="false">IF(J66,J66*20+100,0)</f>
        <v>0</v>
      </c>
      <c r="L66" s="49"/>
      <c r="M66" s="49" t="n">
        <f aca="false">IF(L66,L66*20+100,0)</f>
        <v>0</v>
      </c>
      <c r="N66" s="49"/>
      <c r="O66" s="49" t="n">
        <f aca="false">IF(N66,N66*20+100,0)</f>
        <v>0</v>
      </c>
      <c r="P66" s="49"/>
      <c r="Q66" s="50" t="n">
        <f aca="false">IF(P66,P66*20+100,0)</f>
        <v>0</v>
      </c>
      <c r="R66" s="49"/>
      <c r="S66" s="51" t="n">
        <f aca="false">IF(R66,R66*20+100,0)</f>
        <v>0</v>
      </c>
    </row>
    <row r="67" customFormat="false" ht="15" hidden="false" customHeight="false" outlineLevel="0" collapsed="false">
      <c r="A67" s="55" t="n">
        <v>17</v>
      </c>
      <c r="B67" s="49"/>
      <c r="C67" s="49" t="n">
        <f aca="false">IF(B67,B67*20+100,0)</f>
        <v>0</v>
      </c>
      <c r="D67" s="49"/>
      <c r="E67" s="49" t="n">
        <f aca="false">IF(D67,D67*20+100,0)</f>
        <v>0</v>
      </c>
      <c r="F67" s="49"/>
      <c r="G67" s="49" t="n">
        <f aca="false">IF(F67,F67*20+100,0)</f>
        <v>0</v>
      </c>
      <c r="H67" s="49"/>
      <c r="I67" s="49" t="n">
        <f aca="false">IF(H67,H67*20+100,0)</f>
        <v>0</v>
      </c>
      <c r="J67" s="49"/>
      <c r="K67" s="49" t="n">
        <f aca="false">IF(J67,J67*20+100,0)</f>
        <v>0</v>
      </c>
      <c r="L67" s="49"/>
      <c r="M67" s="49" t="n">
        <f aca="false">IF(L67,L67*20+100,0)</f>
        <v>0</v>
      </c>
      <c r="N67" s="49"/>
      <c r="O67" s="49" t="n">
        <f aca="false">IF(N67,N67*20+100,0)</f>
        <v>0</v>
      </c>
      <c r="P67" s="49"/>
      <c r="Q67" s="50" t="n">
        <f aca="false">IF(P67,P67*20+100,0)</f>
        <v>0</v>
      </c>
      <c r="R67" s="49"/>
      <c r="S67" s="51" t="n">
        <f aca="false">IF(R67,R67*20+100,0)</f>
        <v>0</v>
      </c>
    </row>
    <row r="68" customFormat="false" ht="15" hidden="false" customHeight="false" outlineLevel="0" collapsed="false">
      <c r="A68" s="55" t="n">
        <v>18</v>
      </c>
      <c r="B68" s="49"/>
      <c r="C68" s="49" t="n">
        <f aca="false">IF(B68,B68*20+100,0)</f>
        <v>0</v>
      </c>
      <c r="D68" s="49"/>
      <c r="E68" s="49" t="n">
        <f aca="false">IF(D68,D68*20+100,0)</f>
        <v>0</v>
      </c>
      <c r="F68" s="49"/>
      <c r="G68" s="49" t="n">
        <f aca="false">IF(F68,F68*20+100,0)</f>
        <v>0</v>
      </c>
      <c r="H68" s="49"/>
      <c r="I68" s="49" t="n">
        <f aca="false">IF(H68,H68*20+100,0)</f>
        <v>0</v>
      </c>
      <c r="J68" s="49"/>
      <c r="K68" s="49" t="n">
        <f aca="false">IF(J68,J68*20+100,0)</f>
        <v>0</v>
      </c>
      <c r="L68" s="49"/>
      <c r="M68" s="49" t="n">
        <f aca="false">IF(L68,L68*20+100,0)</f>
        <v>0</v>
      </c>
      <c r="N68" s="49"/>
      <c r="O68" s="49" t="n">
        <f aca="false">IF(N68,N68*20+100,0)</f>
        <v>0</v>
      </c>
      <c r="P68" s="49"/>
      <c r="Q68" s="50" t="n">
        <f aca="false">IF(P68,P68*20+100,0)</f>
        <v>0</v>
      </c>
      <c r="R68" s="49"/>
      <c r="S68" s="51" t="n">
        <f aca="false">IF(R68,R68*20+100,0)</f>
        <v>0</v>
      </c>
    </row>
    <row r="69" customFormat="false" ht="15" hidden="false" customHeight="false" outlineLevel="0" collapsed="false">
      <c r="A69" s="55" t="n">
        <v>19</v>
      </c>
      <c r="B69" s="49"/>
      <c r="C69" s="49" t="n">
        <f aca="false">IF(B69,B69*20+100,0)</f>
        <v>0</v>
      </c>
      <c r="D69" s="49"/>
      <c r="E69" s="49" t="n">
        <f aca="false">IF(D69,D69*20+100,0)</f>
        <v>0</v>
      </c>
      <c r="F69" s="49"/>
      <c r="G69" s="49" t="n">
        <f aca="false">IF(F69,F69*20+100,0)</f>
        <v>0</v>
      </c>
      <c r="H69" s="49"/>
      <c r="I69" s="49" t="n">
        <f aca="false">IF(H69,H69*20+100,0)</f>
        <v>0</v>
      </c>
      <c r="J69" s="49"/>
      <c r="K69" s="49" t="n">
        <f aca="false">IF(J69,J69*20+100,0)</f>
        <v>0</v>
      </c>
      <c r="L69" s="49"/>
      <c r="M69" s="49" t="n">
        <f aca="false">IF(L69,L69*20+100,0)</f>
        <v>0</v>
      </c>
      <c r="N69" s="49"/>
      <c r="O69" s="49" t="n">
        <f aca="false">IF(N69,N69*20+100,0)</f>
        <v>0</v>
      </c>
      <c r="P69" s="49"/>
      <c r="Q69" s="50" t="n">
        <f aca="false">IF(P69,P69*20+100,0)</f>
        <v>0</v>
      </c>
      <c r="R69" s="49"/>
      <c r="S69" s="51" t="n">
        <f aca="false">IF(R69,R69*20+100,0)</f>
        <v>0</v>
      </c>
    </row>
    <row r="70" customFormat="false" ht="15" hidden="false" customHeight="false" outlineLevel="0" collapsed="false">
      <c r="A70" s="55" t="n">
        <v>20</v>
      </c>
      <c r="B70" s="49"/>
      <c r="C70" s="49" t="n">
        <f aca="false">IF(B70,B70*20+100,0)</f>
        <v>0</v>
      </c>
      <c r="D70" s="49"/>
      <c r="E70" s="49" t="n">
        <f aca="false">IF(D70,D70*20+100,0)</f>
        <v>0</v>
      </c>
      <c r="F70" s="49"/>
      <c r="G70" s="49" t="n">
        <f aca="false">IF(F70,F70*20+100,0)</f>
        <v>0</v>
      </c>
      <c r="H70" s="49"/>
      <c r="I70" s="49" t="n">
        <f aca="false">IF(H70,H70*20+100,0)</f>
        <v>0</v>
      </c>
      <c r="J70" s="49"/>
      <c r="K70" s="49" t="n">
        <f aca="false">IF(J70,J70*20+100,0)</f>
        <v>0</v>
      </c>
      <c r="L70" s="49"/>
      <c r="M70" s="49" t="n">
        <f aca="false">IF(L70,L70*20+100,0)</f>
        <v>0</v>
      </c>
      <c r="N70" s="49"/>
      <c r="O70" s="49" t="n">
        <f aca="false">IF(N70,N70*20+100,0)</f>
        <v>0</v>
      </c>
      <c r="P70" s="49"/>
      <c r="Q70" s="50" t="n">
        <f aca="false">IF(P70,P70*20+100,0)</f>
        <v>0</v>
      </c>
      <c r="R70" s="49"/>
      <c r="S70" s="51" t="n">
        <f aca="false">IF(R70,R70*20+100,0)</f>
        <v>0</v>
      </c>
    </row>
    <row r="71" customFormat="false" ht="15" hidden="false" customHeight="false" outlineLevel="0" collapsed="false">
      <c r="A71" s="55" t="n">
        <v>21</v>
      </c>
      <c r="B71" s="49"/>
      <c r="C71" s="49" t="n">
        <f aca="false">IF(B71,B71*20+100,0)</f>
        <v>0</v>
      </c>
      <c r="D71" s="49"/>
      <c r="E71" s="49" t="n">
        <f aca="false">IF(D71,D71*20+100,0)</f>
        <v>0</v>
      </c>
      <c r="F71" s="49"/>
      <c r="G71" s="49" t="n">
        <f aca="false">IF(F71,F71*20+100,0)</f>
        <v>0</v>
      </c>
      <c r="H71" s="49"/>
      <c r="I71" s="49" t="n">
        <f aca="false">IF(H71,H71*20+100,0)</f>
        <v>0</v>
      </c>
      <c r="J71" s="49"/>
      <c r="K71" s="49" t="n">
        <f aca="false">IF(J71,J71*20+100,0)</f>
        <v>0</v>
      </c>
      <c r="L71" s="49"/>
      <c r="M71" s="49" t="n">
        <f aca="false">IF(L71,L71*20+100,0)</f>
        <v>0</v>
      </c>
      <c r="N71" s="49"/>
      <c r="O71" s="49" t="n">
        <f aca="false">IF(N71,N71*20+100,0)</f>
        <v>0</v>
      </c>
      <c r="P71" s="49"/>
      <c r="Q71" s="50" t="n">
        <f aca="false">IF(P71,P71*20+100,0)</f>
        <v>0</v>
      </c>
      <c r="R71" s="49"/>
      <c r="S71" s="51" t="n">
        <f aca="false">IF(R71,R71*20+100,0)</f>
        <v>0</v>
      </c>
    </row>
    <row r="72" customFormat="false" ht="15" hidden="false" customHeight="false" outlineLevel="0" collapsed="false">
      <c r="A72" s="55" t="n">
        <v>22</v>
      </c>
      <c r="B72" s="49"/>
      <c r="C72" s="49" t="n">
        <f aca="false">IF(B72,B72*20+100,0)</f>
        <v>0</v>
      </c>
      <c r="D72" s="49"/>
      <c r="E72" s="49" t="n">
        <f aca="false">IF(D72,D72*20+100,0)</f>
        <v>0</v>
      </c>
      <c r="F72" s="49"/>
      <c r="G72" s="49" t="n">
        <f aca="false">IF(F72,F72*20+100,0)</f>
        <v>0</v>
      </c>
      <c r="H72" s="49"/>
      <c r="I72" s="49" t="n">
        <f aca="false">IF(H72,H72*20+100,0)</f>
        <v>0</v>
      </c>
      <c r="J72" s="49"/>
      <c r="K72" s="49" t="n">
        <f aca="false">IF(J72,J72*20+100,0)</f>
        <v>0</v>
      </c>
      <c r="L72" s="49"/>
      <c r="M72" s="49" t="n">
        <f aca="false">IF(L72,L72*20+100,0)</f>
        <v>0</v>
      </c>
      <c r="N72" s="49"/>
      <c r="O72" s="49" t="n">
        <f aca="false">IF(N72,N72*20+100,0)</f>
        <v>0</v>
      </c>
      <c r="P72" s="49"/>
      <c r="Q72" s="50" t="n">
        <f aca="false">IF(P72,P72*20+100,0)</f>
        <v>0</v>
      </c>
      <c r="R72" s="49"/>
      <c r="S72" s="51" t="n">
        <f aca="false">IF(R72,R72*20+100,0)</f>
        <v>0</v>
      </c>
    </row>
    <row r="73" customFormat="false" ht="15" hidden="false" customHeight="false" outlineLevel="0" collapsed="false">
      <c r="A73" s="55" t="n">
        <v>23</v>
      </c>
      <c r="B73" s="49"/>
      <c r="C73" s="49" t="n">
        <f aca="false">IF(B73,B73*20+100,0)</f>
        <v>0</v>
      </c>
      <c r="D73" s="49"/>
      <c r="E73" s="49" t="n">
        <f aca="false">IF(D73,D73*20+100,0)</f>
        <v>0</v>
      </c>
      <c r="F73" s="49"/>
      <c r="G73" s="49" t="n">
        <f aca="false">IF(F73,F73*20+100,0)</f>
        <v>0</v>
      </c>
      <c r="H73" s="49"/>
      <c r="I73" s="49" t="n">
        <f aca="false">IF(H73,H73*20+100,0)</f>
        <v>0</v>
      </c>
      <c r="J73" s="49"/>
      <c r="K73" s="49" t="n">
        <f aca="false">IF(J73,J73*20+100,0)</f>
        <v>0</v>
      </c>
      <c r="L73" s="49"/>
      <c r="M73" s="49" t="n">
        <f aca="false">IF(L73,L73*20+100,0)</f>
        <v>0</v>
      </c>
      <c r="N73" s="49"/>
      <c r="O73" s="49" t="n">
        <f aca="false">IF(N73,N73*20+100,0)</f>
        <v>0</v>
      </c>
      <c r="P73" s="49"/>
      <c r="Q73" s="50" t="n">
        <f aca="false">IF(P73,P73*20+100,0)</f>
        <v>0</v>
      </c>
      <c r="R73" s="49"/>
      <c r="S73" s="51" t="n">
        <f aca="false">IF(R73,R73*20+100,0)</f>
        <v>0</v>
      </c>
    </row>
    <row r="74" customFormat="false" ht="15" hidden="false" customHeight="false" outlineLevel="0" collapsed="false">
      <c r="A74" s="55" t="n">
        <v>24</v>
      </c>
      <c r="B74" s="49"/>
      <c r="C74" s="49" t="n">
        <f aca="false">IF(B74,B74*20+100,0)</f>
        <v>0</v>
      </c>
      <c r="D74" s="49"/>
      <c r="E74" s="49" t="n">
        <f aca="false">IF(D74,D74*20+100,0)</f>
        <v>0</v>
      </c>
      <c r="F74" s="49"/>
      <c r="G74" s="49" t="n">
        <f aca="false">IF(F74,F74*20+100,0)</f>
        <v>0</v>
      </c>
      <c r="H74" s="49"/>
      <c r="I74" s="49" t="n">
        <f aca="false">IF(H74,H74*20+100,0)</f>
        <v>0</v>
      </c>
      <c r="J74" s="49"/>
      <c r="K74" s="49" t="n">
        <f aca="false">IF(J74,J74*20+100,0)</f>
        <v>0</v>
      </c>
      <c r="L74" s="49"/>
      <c r="M74" s="49" t="n">
        <f aca="false">IF(L74,L74*20+100,0)</f>
        <v>0</v>
      </c>
      <c r="N74" s="49"/>
      <c r="O74" s="49" t="n">
        <f aca="false">IF(N74,N74*20+100,0)</f>
        <v>0</v>
      </c>
      <c r="P74" s="49"/>
      <c r="Q74" s="50" t="n">
        <f aca="false">IF(P74,P74*20+100,0)</f>
        <v>0</v>
      </c>
      <c r="R74" s="49"/>
      <c r="S74" s="51" t="n">
        <f aca="false">IF(R74,R74*20+100,0)</f>
        <v>0</v>
      </c>
    </row>
    <row r="75" customFormat="false" ht="15" hidden="false" customHeight="false" outlineLevel="0" collapsed="false">
      <c r="A75" s="55" t="n">
        <v>25</v>
      </c>
      <c r="B75" s="49"/>
      <c r="C75" s="49" t="n">
        <f aca="false">IF(B75,B75*20+100,0)</f>
        <v>0</v>
      </c>
      <c r="D75" s="49"/>
      <c r="E75" s="49" t="n">
        <f aca="false">IF(D75,D75*20+100,0)</f>
        <v>0</v>
      </c>
      <c r="F75" s="49"/>
      <c r="G75" s="49" t="n">
        <f aca="false">IF(F75,F75*20+100,0)</f>
        <v>0</v>
      </c>
      <c r="H75" s="49"/>
      <c r="I75" s="49" t="n">
        <f aca="false">IF(H75,H75*20+100,0)</f>
        <v>0</v>
      </c>
      <c r="J75" s="49"/>
      <c r="K75" s="49" t="n">
        <f aca="false">IF(J75,J75*20+100,0)</f>
        <v>0</v>
      </c>
      <c r="L75" s="49"/>
      <c r="M75" s="49" t="n">
        <f aca="false">IF(L75,L75*20+100,0)</f>
        <v>0</v>
      </c>
      <c r="N75" s="49"/>
      <c r="O75" s="49" t="n">
        <f aca="false">IF(N75,N75*20+100,0)</f>
        <v>0</v>
      </c>
      <c r="P75" s="49"/>
      <c r="Q75" s="50" t="n">
        <f aca="false">IF(P75,P75*20+100,0)</f>
        <v>0</v>
      </c>
      <c r="R75" s="49"/>
      <c r="S75" s="51" t="n">
        <f aca="false">IF(R75,R75*20+100,0)</f>
        <v>0</v>
      </c>
    </row>
    <row r="76" customFormat="false" ht="15" hidden="false" customHeight="false" outlineLevel="0" collapsed="false">
      <c r="A76" s="55" t="n">
        <v>26</v>
      </c>
      <c r="B76" s="49"/>
      <c r="C76" s="49" t="n">
        <f aca="false">IF(B76,B76*20+100,0)</f>
        <v>0</v>
      </c>
      <c r="D76" s="49"/>
      <c r="E76" s="49" t="n">
        <f aca="false">IF(D76,D76*20+100,0)</f>
        <v>0</v>
      </c>
      <c r="F76" s="49"/>
      <c r="G76" s="49" t="n">
        <f aca="false">IF(F76,F76*20+100,0)</f>
        <v>0</v>
      </c>
      <c r="H76" s="49"/>
      <c r="I76" s="49" t="n">
        <f aca="false">IF(H76,H76*20+100,0)</f>
        <v>0</v>
      </c>
      <c r="J76" s="49"/>
      <c r="K76" s="49" t="n">
        <f aca="false">IF(J76,J76*20+100,0)</f>
        <v>0</v>
      </c>
      <c r="L76" s="49"/>
      <c r="M76" s="49" t="n">
        <f aca="false">IF(L76,L76*20+100,0)</f>
        <v>0</v>
      </c>
      <c r="N76" s="49"/>
      <c r="O76" s="49" t="n">
        <f aca="false">IF(N76,N76*20+100,0)</f>
        <v>0</v>
      </c>
      <c r="P76" s="49"/>
      <c r="Q76" s="50" t="n">
        <f aca="false">IF(P76,P76*20+100,0)</f>
        <v>0</v>
      </c>
      <c r="R76" s="49"/>
      <c r="S76" s="51" t="n">
        <f aca="false">IF(R76,R76*20+100,0)</f>
        <v>0</v>
      </c>
    </row>
    <row r="77" customFormat="false" ht="15" hidden="false" customHeight="false" outlineLevel="0" collapsed="false">
      <c r="A77" s="55" t="n">
        <v>27</v>
      </c>
      <c r="B77" s="49"/>
      <c r="C77" s="49" t="n">
        <f aca="false">IF(B77,B77*20+100,0)</f>
        <v>0</v>
      </c>
      <c r="D77" s="49"/>
      <c r="E77" s="49" t="n">
        <f aca="false">IF(D77,D77*20+100,0)</f>
        <v>0</v>
      </c>
      <c r="F77" s="49"/>
      <c r="G77" s="49" t="n">
        <f aca="false">IF(F77,F77*20+100,0)</f>
        <v>0</v>
      </c>
      <c r="H77" s="49"/>
      <c r="I77" s="49" t="n">
        <f aca="false">IF(H77,H77*20+100,0)</f>
        <v>0</v>
      </c>
      <c r="J77" s="49"/>
      <c r="K77" s="49" t="n">
        <f aca="false">IF(J77,J77*20+100,0)</f>
        <v>0</v>
      </c>
      <c r="L77" s="49"/>
      <c r="M77" s="49" t="n">
        <f aca="false">IF(L77,L77*20+100,0)</f>
        <v>0</v>
      </c>
      <c r="N77" s="49"/>
      <c r="O77" s="49" t="n">
        <f aca="false">IF(N77,N77*20+100,0)</f>
        <v>0</v>
      </c>
      <c r="P77" s="49"/>
      <c r="Q77" s="50" t="n">
        <f aca="false">IF(P77,P77*20+100,0)</f>
        <v>0</v>
      </c>
      <c r="R77" s="49"/>
      <c r="S77" s="51" t="n">
        <f aca="false">IF(R77,R77*20+100,0)</f>
        <v>0</v>
      </c>
    </row>
    <row r="78" customFormat="false" ht="15" hidden="false" customHeight="false" outlineLevel="0" collapsed="false">
      <c r="A78" s="55" t="n">
        <v>28</v>
      </c>
      <c r="B78" s="49"/>
      <c r="C78" s="49" t="n">
        <f aca="false">IF(B78,B78*20+100,0)</f>
        <v>0</v>
      </c>
      <c r="D78" s="49"/>
      <c r="E78" s="49" t="n">
        <f aca="false">IF(D78,D78*20+100,0)</f>
        <v>0</v>
      </c>
      <c r="F78" s="49"/>
      <c r="G78" s="49" t="n">
        <f aca="false">IF(F78,F78*20+100,0)</f>
        <v>0</v>
      </c>
      <c r="H78" s="49"/>
      <c r="I78" s="49" t="n">
        <f aca="false">IF(H78,H78*20+100,0)</f>
        <v>0</v>
      </c>
      <c r="J78" s="49"/>
      <c r="K78" s="49" t="n">
        <f aca="false">IF(J78,J78*20+100,0)</f>
        <v>0</v>
      </c>
      <c r="L78" s="49"/>
      <c r="M78" s="49" t="n">
        <f aca="false">IF(L78,L78*20+100,0)</f>
        <v>0</v>
      </c>
      <c r="N78" s="49"/>
      <c r="O78" s="49" t="n">
        <f aca="false">IF(N78,N78*20+100,0)</f>
        <v>0</v>
      </c>
      <c r="P78" s="49"/>
      <c r="Q78" s="50" t="n">
        <f aca="false">IF(P78,P78*20+100,0)</f>
        <v>0</v>
      </c>
      <c r="R78" s="49"/>
      <c r="S78" s="51" t="n">
        <f aca="false">IF(R78,R78*20+100,0)</f>
        <v>0</v>
      </c>
    </row>
    <row r="79" customFormat="false" ht="15" hidden="false" customHeight="false" outlineLevel="0" collapsed="false">
      <c r="A79" s="55" t="n">
        <v>29</v>
      </c>
      <c r="B79" s="49"/>
      <c r="C79" s="49" t="n">
        <f aca="false">IF(B79,B79*20+100,0)</f>
        <v>0</v>
      </c>
      <c r="D79" s="49"/>
      <c r="E79" s="49" t="n">
        <f aca="false">IF(D79,D79*20+100,0)</f>
        <v>0</v>
      </c>
      <c r="F79" s="49"/>
      <c r="G79" s="49" t="n">
        <f aca="false">IF(F79,F79*20+100,0)</f>
        <v>0</v>
      </c>
      <c r="H79" s="49"/>
      <c r="I79" s="49" t="n">
        <f aca="false">IF(H79,H79*20+100,0)</f>
        <v>0</v>
      </c>
      <c r="J79" s="49"/>
      <c r="K79" s="49" t="n">
        <f aca="false">IF(J79,J79*20+100,0)</f>
        <v>0</v>
      </c>
      <c r="L79" s="49"/>
      <c r="M79" s="49" t="n">
        <f aca="false">IF(L79,L79*20+100,0)</f>
        <v>0</v>
      </c>
      <c r="N79" s="49"/>
      <c r="O79" s="49" t="n">
        <f aca="false">IF(N79,N79*20+100,0)</f>
        <v>0</v>
      </c>
      <c r="P79" s="49"/>
      <c r="Q79" s="50" t="n">
        <f aca="false">IF(P79,P79*20+100,0)</f>
        <v>0</v>
      </c>
      <c r="R79" s="49"/>
      <c r="S79" s="51" t="n">
        <f aca="false">IF(R79,R79*20+100,0)</f>
        <v>0</v>
      </c>
    </row>
    <row r="80" customFormat="false" ht="15" hidden="false" customHeight="false" outlineLevel="0" collapsed="false">
      <c r="A80" s="55" t="n">
        <v>30</v>
      </c>
      <c r="B80" s="49"/>
      <c r="C80" s="49" t="n">
        <f aca="false">IF(B80,B80*20+100,0)</f>
        <v>0</v>
      </c>
      <c r="D80" s="49"/>
      <c r="E80" s="49" t="n">
        <f aca="false">IF(D80,D80*20+100,0)</f>
        <v>0</v>
      </c>
      <c r="F80" s="49"/>
      <c r="G80" s="49" t="n">
        <f aca="false">IF(F80,F80*20+100,0)</f>
        <v>0</v>
      </c>
      <c r="H80" s="49"/>
      <c r="I80" s="49" t="n">
        <f aca="false">IF(H80,H80*20+100,0)</f>
        <v>0</v>
      </c>
      <c r="J80" s="49"/>
      <c r="K80" s="49" t="n">
        <f aca="false">IF(J80,J80*20+100,0)</f>
        <v>0</v>
      </c>
      <c r="L80" s="49"/>
      <c r="M80" s="49" t="n">
        <f aca="false">IF(L80,L80*20+100,0)</f>
        <v>0</v>
      </c>
      <c r="N80" s="49"/>
      <c r="O80" s="49" t="n">
        <f aca="false">IF(N80,N80*20+100,0)</f>
        <v>0</v>
      </c>
      <c r="P80" s="49"/>
      <c r="Q80" s="50" t="n">
        <f aca="false">IF(P80,P80*20+100,0)</f>
        <v>0</v>
      </c>
      <c r="R80" s="49"/>
      <c r="S80" s="51" t="n">
        <f aca="false">IF(R80,R80*20+100,0)</f>
        <v>0</v>
      </c>
    </row>
    <row r="81" customFormat="false" ht="39.75" hidden="false" customHeight="true" outlineLevel="0" collapsed="false">
      <c r="A81" s="56"/>
      <c r="B81" s="57" t="s">
        <v>53</v>
      </c>
      <c r="C81" s="58" t="n">
        <f aca="false">SUM(C51:C80)</f>
        <v>1240</v>
      </c>
      <c r="D81" s="57" t="s">
        <v>53</v>
      </c>
      <c r="E81" s="58" t="n">
        <f aca="false">SUM(E51:E80)</f>
        <v>1780</v>
      </c>
      <c r="F81" s="57" t="s">
        <v>53</v>
      </c>
      <c r="G81" s="58" t="n">
        <f aca="false">SUM(G51:G80)</f>
        <v>520</v>
      </c>
      <c r="H81" s="57" t="s">
        <v>53</v>
      </c>
      <c r="I81" s="58" t="n">
        <f aca="false">SUM(I51:I80)</f>
        <v>0</v>
      </c>
      <c r="J81" s="57" t="s">
        <v>53</v>
      </c>
      <c r="K81" s="58" t="n">
        <f aca="false">SUM(K51:K80)</f>
        <v>1300</v>
      </c>
      <c r="L81" s="57" t="s">
        <v>53</v>
      </c>
      <c r="M81" s="58" t="n">
        <f aca="false">SUM(M51:M80)</f>
        <v>3160</v>
      </c>
      <c r="N81" s="57" t="s">
        <v>53</v>
      </c>
      <c r="O81" s="58" t="n">
        <f aca="false">SUM(O51:O80)</f>
        <v>0</v>
      </c>
      <c r="P81" s="57" t="s">
        <v>53</v>
      </c>
      <c r="Q81" s="58" t="n">
        <f aca="false">SUM(Q51:Q80)</f>
        <v>640</v>
      </c>
      <c r="R81" s="57" t="s">
        <v>53</v>
      </c>
      <c r="S81" s="51" t="n">
        <f aca="false">SUM(S51:S80)</f>
        <v>860</v>
      </c>
    </row>
    <row r="82" customFormat="false" ht="39" hidden="false" customHeight="true" outlineLevel="0" collapsed="false">
      <c r="A82" s="56"/>
      <c r="B82" s="59" t="s">
        <v>54</v>
      </c>
      <c r="C82" s="58" t="n">
        <f aca="false">IF(C81=0,9,RANK(C81,$C$81:$S$81,0))</f>
        <v>4</v>
      </c>
      <c r="D82" s="59" t="s">
        <v>54</v>
      </c>
      <c r="E82" s="58" t="n">
        <f aca="false">IF(E81=0,9,RANK(E81,$C$81:$S$81,0))</f>
        <v>2</v>
      </c>
      <c r="F82" s="59" t="s">
        <v>54</v>
      </c>
      <c r="G82" s="58" t="n">
        <f aca="false">IF(G81=0,9,RANK(G81,$C$81:$S$81,0))</f>
        <v>7</v>
      </c>
      <c r="H82" s="59" t="s">
        <v>54</v>
      </c>
      <c r="I82" s="58" t="n">
        <f aca="false">IF(I81=0,9,RANK(I81,$C$81:$S$81,0))</f>
        <v>9</v>
      </c>
      <c r="J82" s="59" t="s">
        <v>54</v>
      </c>
      <c r="K82" s="58" t="n">
        <f aca="false">IF(K81=0,9,RANK(K81,$C$81:$S$81,0))</f>
        <v>3</v>
      </c>
      <c r="L82" s="59" t="s">
        <v>54</v>
      </c>
      <c r="M82" s="58" t="n">
        <f aca="false">IF(M81=0,9,RANK(M81,$C$81:$S$81,0))</f>
        <v>1</v>
      </c>
      <c r="N82" s="59" t="s">
        <v>54</v>
      </c>
      <c r="O82" s="58" t="n">
        <f aca="false">IF(O81=0,9,RANK(O81,$C$81:$S$81,0))</f>
        <v>9</v>
      </c>
      <c r="P82" s="59" t="s">
        <v>54</v>
      </c>
      <c r="Q82" s="58" t="n">
        <f aca="false">IF(Q81=0,9,RANK(Q81,$C$81:$S$81,0))</f>
        <v>6</v>
      </c>
      <c r="R82" s="59" t="s">
        <v>54</v>
      </c>
      <c r="S82" s="66" t="n">
        <f aca="false">IF(S81=0,9,RANK(S81,$C$81:$S$81,0))</f>
        <v>5</v>
      </c>
    </row>
    <row r="83" customFormat="false" ht="15" hidden="false" customHeight="true" outlineLevel="0" collapsed="false">
      <c r="A83" s="60"/>
      <c r="B83" s="57" t="s">
        <v>55</v>
      </c>
      <c r="C83" s="49" t="n">
        <f aca="false">COUNT(B51:B80)</f>
        <v>2</v>
      </c>
      <c r="D83" s="57" t="s">
        <v>55</v>
      </c>
      <c r="E83" s="49" t="n">
        <f aca="false">COUNT(D51:D80)</f>
        <v>3</v>
      </c>
      <c r="F83" s="57" t="s">
        <v>55</v>
      </c>
      <c r="G83" s="49" t="n">
        <f aca="false">COUNT(F51:F80)</f>
        <v>1</v>
      </c>
      <c r="H83" s="57" t="s">
        <v>55</v>
      </c>
      <c r="I83" s="49" t="n">
        <f aca="false">COUNT(H51:H80)</f>
        <v>0</v>
      </c>
      <c r="J83" s="57" t="s">
        <v>55</v>
      </c>
      <c r="K83" s="49" t="n">
        <f aca="false">COUNT(J51:J80)</f>
        <v>2</v>
      </c>
      <c r="L83" s="57" t="s">
        <v>55</v>
      </c>
      <c r="M83" s="49" t="n">
        <f aca="false">COUNT(L51:L80)</f>
        <v>5</v>
      </c>
      <c r="N83" s="57" t="s">
        <v>55</v>
      </c>
      <c r="O83" s="49" t="n">
        <f aca="false">COUNT(N51:N80)</f>
        <v>0</v>
      </c>
      <c r="P83" s="57" t="s">
        <v>55</v>
      </c>
      <c r="Q83" s="50" t="n">
        <f aca="false">COUNT(P51:P80)</f>
        <v>1</v>
      </c>
      <c r="R83" s="57" t="s">
        <v>55</v>
      </c>
      <c r="S83" s="51" t="n">
        <f aca="false">COUNT(R51:R80)</f>
        <v>1</v>
      </c>
    </row>
    <row r="84" customFormat="false" ht="15" hidden="false" customHeight="false" outlineLevel="0" collapsed="false">
      <c r="A84" s="60"/>
      <c r="B84" s="57"/>
      <c r="C84" s="49"/>
      <c r="D84" s="57"/>
      <c r="E84" s="49"/>
      <c r="F84" s="57"/>
      <c r="G84" s="49"/>
      <c r="H84" s="57"/>
      <c r="I84" s="49"/>
      <c r="J84" s="57"/>
      <c r="K84" s="49"/>
      <c r="L84" s="57"/>
      <c r="M84" s="49"/>
      <c r="N84" s="57"/>
      <c r="O84" s="49"/>
      <c r="P84" s="57"/>
      <c r="Q84" s="50"/>
      <c r="R84" s="57"/>
      <c r="S84" s="51"/>
    </row>
    <row r="85" customFormat="false" ht="15" hidden="false" customHeight="false" outlineLevel="0" collapsed="false">
      <c r="A85" s="60"/>
      <c r="B85" s="57"/>
      <c r="C85" s="49"/>
      <c r="D85" s="57"/>
      <c r="E85" s="49"/>
      <c r="F85" s="57"/>
      <c r="G85" s="49"/>
      <c r="H85" s="57"/>
      <c r="I85" s="49"/>
      <c r="J85" s="57"/>
      <c r="K85" s="49"/>
      <c r="L85" s="57"/>
      <c r="M85" s="49"/>
      <c r="N85" s="57"/>
      <c r="O85" s="49"/>
      <c r="P85" s="57"/>
      <c r="Q85" s="50"/>
      <c r="R85" s="57"/>
      <c r="S85" s="51"/>
    </row>
    <row r="86" customFormat="false" ht="33.75" hidden="false" customHeight="true" outlineLevel="0" collapsed="false">
      <c r="A86" s="61"/>
      <c r="B86" s="62" t="s">
        <v>56</v>
      </c>
      <c r="C86" s="62" t="n">
        <f aca="false">MAX(B51:B80)</f>
        <v>27</v>
      </c>
      <c r="D86" s="62" t="s">
        <v>56</v>
      </c>
      <c r="E86" s="62" t="n">
        <f aca="false">MAX(D51:D80)</f>
        <v>32</v>
      </c>
      <c r="F86" s="62" t="s">
        <v>56</v>
      </c>
      <c r="G86" s="62" t="n">
        <f aca="false">MAX(F51:F80)</f>
        <v>21</v>
      </c>
      <c r="H86" s="62" t="s">
        <v>56</v>
      </c>
      <c r="I86" s="62" t="n">
        <f aca="false">MAX(H51:H80)</f>
        <v>0</v>
      </c>
      <c r="J86" s="62" t="s">
        <v>56</v>
      </c>
      <c r="K86" s="62" t="n">
        <f aca="false">MAX(J51:J80)</f>
        <v>28</v>
      </c>
      <c r="L86" s="62" t="s">
        <v>56</v>
      </c>
      <c r="M86" s="62" t="n">
        <f aca="false">MAX(L51:L80)</f>
        <v>27</v>
      </c>
      <c r="N86" s="62" t="s">
        <v>56</v>
      </c>
      <c r="O86" s="62" t="n">
        <f aca="false">MAX(N51:N80)</f>
        <v>0</v>
      </c>
      <c r="P86" s="62" t="s">
        <v>56</v>
      </c>
      <c r="Q86" s="67" t="n">
        <f aca="false">MAX(P51:P80)</f>
        <v>27</v>
      </c>
      <c r="R86" s="62" t="s">
        <v>56</v>
      </c>
      <c r="S86" s="68" t="n">
        <f aca="false">MAX(R51:R80)</f>
        <v>38</v>
      </c>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row>
    <row r="89" customFormat="false" ht="15" hidden="false" customHeight="true" outlineLevel="0" collapsed="false">
      <c r="A89" s="13" t="s">
        <v>58</v>
      </c>
      <c r="B89" s="13"/>
      <c r="C89" s="13"/>
      <c r="D89" s="13"/>
      <c r="E89" s="13"/>
      <c r="F89" s="13"/>
      <c r="G89" s="13"/>
      <c r="H89" s="13"/>
      <c r="I89" s="13"/>
      <c r="J89" s="13"/>
      <c r="K89" s="13"/>
      <c r="L89" s="13"/>
      <c r="M89" s="13"/>
      <c r="N89" s="13"/>
      <c r="O89" s="13"/>
      <c r="P89" s="13"/>
      <c r="Q89" s="13"/>
      <c r="R89" s="13"/>
      <c r="S89" s="13"/>
    </row>
    <row r="90" customFormat="false" ht="15" hidden="false" customHeight="true" outlineLevel="0" collapsed="false">
      <c r="A90" s="13"/>
      <c r="B90" s="13"/>
      <c r="C90" s="13"/>
      <c r="D90" s="13"/>
      <c r="E90" s="13"/>
      <c r="F90" s="13"/>
      <c r="G90" s="13"/>
      <c r="H90" s="13"/>
      <c r="I90" s="13"/>
      <c r="J90" s="13"/>
      <c r="K90" s="13"/>
      <c r="L90" s="13"/>
      <c r="M90" s="13"/>
      <c r="N90" s="13"/>
      <c r="O90" s="13"/>
      <c r="P90" s="13"/>
      <c r="Q90" s="13"/>
      <c r="R90" s="13"/>
      <c r="S90" s="13"/>
    </row>
    <row r="91" customFormat="false" ht="15" hidden="false" customHeight="true" outlineLevel="0" collapsed="false">
      <c r="A91" s="48" t="s">
        <v>49</v>
      </c>
      <c r="B91" s="49" t="s">
        <v>50</v>
      </c>
      <c r="C91" s="49"/>
      <c r="D91" s="49" t="s">
        <v>50</v>
      </c>
      <c r="E91" s="49"/>
      <c r="F91" s="49" t="s">
        <v>50</v>
      </c>
      <c r="G91" s="49"/>
      <c r="H91" s="49" t="s">
        <v>50</v>
      </c>
      <c r="I91" s="49"/>
      <c r="J91" s="49" t="s">
        <v>50</v>
      </c>
      <c r="K91" s="49"/>
      <c r="L91" s="49" t="s">
        <v>50</v>
      </c>
      <c r="M91" s="49"/>
      <c r="N91" s="49" t="s">
        <v>50</v>
      </c>
      <c r="O91" s="49"/>
      <c r="P91" s="50" t="s">
        <v>50</v>
      </c>
      <c r="Q91" s="50"/>
      <c r="R91" s="51" t="s">
        <v>50</v>
      </c>
      <c r="S91" s="51"/>
    </row>
    <row r="92" customFormat="false" ht="17.35" hidden="false" customHeight="false" outlineLevel="0" collapsed="false">
      <c r="A92" s="48"/>
      <c r="B92" s="52" t="str">
        <f aca="false">TABELA!F10</f>
        <v>MILJAN ANĐIĆ</v>
      </c>
      <c r="C92" s="52"/>
      <c r="D92" s="52" t="str">
        <f aca="false">TABELA!F11</f>
        <v>ARSO JEREMIĆ</v>
      </c>
      <c r="E92" s="52"/>
      <c r="F92" s="52" t="str">
        <f aca="false">TABELA!F12</f>
        <v>NIKOLA ĐALOVIĆ</v>
      </c>
      <c r="G92" s="52"/>
      <c r="H92" s="52" t="str">
        <f aca="false">TABELA!F13</f>
        <v>SAVO RAIČEVIĆ</v>
      </c>
      <c r="I92" s="52"/>
      <c r="J92" s="52" t="str">
        <f aca="false">TABELA!F14</f>
        <v>RADOVAN KRKOVIĆ</v>
      </c>
      <c r="K92" s="52"/>
      <c r="L92" s="52" t="str">
        <f aca="false">TABELA!F15</f>
        <v>ALEKSANDAR GAŠEVIĆ</v>
      </c>
      <c r="M92" s="52"/>
      <c r="N92" s="52" t="str">
        <f aca="false">TABELA!F16</f>
        <v>MILUN ĐUROVIĆ</v>
      </c>
      <c r="O92" s="52"/>
      <c r="P92" s="53" t="str">
        <f aca="false">TABELA!F17</f>
        <v>KEMAL AJANOVIĆ</v>
      </c>
      <c r="Q92" s="53"/>
      <c r="R92" s="54" t="str">
        <f aca="false">TABELA!F18</f>
        <v>DAMIR CANOVIĆ</v>
      </c>
      <c r="S92" s="54"/>
    </row>
    <row r="93" customFormat="false" ht="15" hidden="false" customHeight="false" outlineLevel="0" collapsed="false">
      <c r="A93" s="48"/>
      <c r="B93" s="49" t="s">
        <v>51</v>
      </c>
      <c r="C93" s="49" t="s">
        <v>52</v>
      </c>
      <c r="D93" s="49" t="s">
        <v>51</v>
      </c>
      <c r="E93" s="49" t="s">
        <v>52</v>
      </c>
      <c r="F93" s="49" t="s">
        <v>51</v>
      </c>
      <c r="G93" s="49" t="s">
        <v>52</v>
      </c>
      <c r="H93" s="49" t="s">
        <v>51</v>
      </c>
      <c r="I93" s="49" t="s">
        <v>52</v>
      </c>
      <c r="J93" s="49" t="s">
        <v>51</v>
      </c>
      <c r="K93" s="49" t="s">
        <v>52</v>
      </c>
      <c r="L93" s="49" t="s">
        <v>51</v>
      </c>
      <c r="M93" s="49" t="s">
        <v>52</v>
      </c>
      <c r="N93" s="49" t="s">
        <v>51</v>
      </c>
      <c r="O93" s="49" t="s">
        <v>52</v>
      </c>
      <c r="P93" s="49" t="s">
        <v>51</v>
      </c>
      <c r="Q93" s="50" t="s">
        <v>52</v>
      </c>
      <c r="R93" s="49" t="s">
        <v>51</v>
      </c>
      <c r="S93" s="51" t="s">
        <v>52</v>
      </c>
    </row>
    <row r="94" customFormat="false" ht="15" hidden="false" customHeight="false" outlineLevel="0" collapsed="false">
      <c r="A94" s="55" t="n">
        <v>1</v>
      </c>
      <c r="B94" s="49"/>
      <c r="C94" s="49" t="n">
        <f aca="false">IF(B94,B94*20+100,0)</f>
        <v>0</v>
      </c>
      <c r="D94" s="49" t="n">
        <v>27</v>
      </c>
      <c r="E94" s="49" t="n">
        <f aca="false">IF(D94,D94*20+100,0)</f>
        <v>640</v>
      </c>
      <c r="F94" s="49" t="n">
        <v>30</v>
      </c>
      <c r="G94" s="49" t="n">
        <f aca="false">IF(F94,F94*20+100,0)</f>
        <v>700</v>
      </c>
      <c r="H94" s="49"/>
      <c r="I94" s="49" t="n">
        <f aca="false">IF(H94,H94*20+100,0)</f>
        <v>0</v>
      </c>
      <c r="J94" s="49"/>
      <c r="K94" s="49" t="n">
        <f aca="false">IF(J94,J94*20+100,0)</f>
        <v>0</v>
      </c>
      <c r="L94" s="49" t="n">
        <v>37</v>
      </c>
      <c r="M94" s="49" t="n">
        <f aca="false">IF(L94,L94*20+100,0)</f>
        <v>840</v>
      </c>
      <c r="N94" s="49" t="n">
        <v>22</v>
      </c>
      <c r="O94" s="49" t="n">
        <f aca="false">IF(N94,N94*20+100,0)</f>
        <v>540</v>
      </c>
      <c r="P94" s="49" t="n">
        <v>27</v>
      </c>
      <c r="Q94" s="50" t="n">
        <f aca="false">IF(P94,P94*20+100,0)</f>
        <v>640</v>
      </c>
      <c r="R94" s="49"/>
      <c r="S94" s="51" t="n">
        <f aca="false">IF(R94,R94*20+100,0)</f>
        <v>0</v>
      </c>
    </row>
    <row r="95" customFormat="false" ht="15" hidden="false" customHeight="false" outlineLevel="0" collapsed="false">
      <c r="A95" s="55" t="n">
        <v>2</v>
      </c>
      <c r="B95" s="49"/>
      <c r="C95" s="49" t="n">
        <f aca="false">IF(B95,B95*20+100,0)</f>
        <v>0</v>
      </c>
      <c r="D95" s="49" t="n">
        <v>24</v>
      </c>
      <c r="E95" s="49" t="n">
        <f aca="false">IF(D95,D95*20+100,0)</f>
        <v>580</v>
      </c>
      <c r="F95" s="49" t="n">
        <v>22</v>
      </c>
      <c r="G95" s="49" t="n">
        <f aca="false">IF(F95,F95*20+100,0)</f>
        <v>540</v>
      </c>
      <c r="H95" s="49"/>
      <c r="I95" s="49" t="n">
        <f aca="false">IF(H95,H95*20+100,0)</f>
        <v>0</v>
      </c>
      <c r="J95" s="49"/>
      <c r="K95" s="49" t="n">
        <f aca="false">IF(J95,J95*20+100,0)</f>
        <v>0</v>
      </c>
      <c r="L95" s="49" t="n">
        <v>29</v>
      </c>
      <c r="M95" s="49" t="n">
        <f aca="false">IF(L95,L95*20+100,0)</f>
        <v>680</v>
      </c>
      <c r="N95" s="49"/>
      <c r="O95" s="49" t="n">
        <f aca="false">IF(N95,N95*20+100,0)</f>
        <v>0</v>
      </c>
      <c r="P95" s="49" t="n">
        <v>28</v>
      </c>
      <c r="Q95" s="50" t="n">
        <f aca="false">IF(P95,P95*20+100,0)</f>
        <v>660</v>
      </c>
      <c r="R95" s="49"/>
      <c r="S95" s="51" t="n">
        <f aca="false">IF(R95,R95*20+100,0)</f>
        <v>0</v>
      </c>
    </row>
    <row r="96" customFormat="false" ht="15" hidden="false" customHeight="false" outlineLevel="0" collapsed="false">
      <c r="A96" s="55" t="n">
        <v>3</v>
      </c>
      <c r="B96" s="49"/>
      <c r="C96" s="49" t="n">
        <f aca="false">IF(B96,B96*20+100,0)</f>
        <v>0</v>
      </c>
      <c r="D96" s="49"/>
      <c r="E96" s="49" t="n">
        <f aca="false">IF(D96,D96*20+100,0)</f>
        <v>0</v>
      </c>
      <c r="F96" s="49"/>
      <c r="G96" s="49" t="n">
        <f aca="false">IF(F96,F96*20+100,0)</f>
        <v>0</v>
      </c>
      <c r="H96" s="49"/>
      <c r="I96" s="49" t="n">
        <f aca="false">IF(H96,H96*20+100,0)</f>
        <v>0</v>
      </c>
      <c r="J96" s="49"/>
      <c r="K96" s="49" t="n">
        <f aca="false">IF(J96,J96*20+100,0)</f>
        <v>0</v>
      </c>
      <c r="L96" s="49" t="n">
        <v>31</v>
      </c>
      <c r="M96" s="49" t="n">
        <f aca="false">IF(L96,L96*20+100,0)</f>
        <v>720</v>
      </c>
      <c r="N96" s="49"/>
      <c r="O96" s="49" t="n">
        <f aca="false">IF(N96,N96*20+100,0)</f>
        <v>0</v>
      </c>
      <c r="P96" s="49"/>
      <c r="Q96" s="50" t="n">
        <f aca="false">IF(P96,P96*20+100,0)</f>
        <v>0</v>
      </c>
      <c r="R96" s="49"/>
      <c r="S96" s="51" t="n">
        <f aca="false">IF(R96,R96*20+100,0)</f>
        <v>0</v>
      </c>
    </row>
    <row r="97" customFormat="false" ht="15" hidden="false" customHeight="false" outlineLevel="0" collapsed="false">
      <c r="A97" s="55" t="n">
        <v>4</v>
      </c>
      <c r="B97" s="49"/>
      <c r="C97" s="49" t="n">
        <f aca="false">IF(B97,B97*20+100,0)</f>
        <v>0</v>
      </c>
      <c r="D97" s="49"/>
      <c r="E97" s="49" t="n">
        <f aca="false">IF(D97,D97*20+100,0)</f>
        <v>0</v>
      </c>
      <c r="F97" s="49"/>
      <c r="G97" s="49" t="n">
        <f aca="false">IF(F97,F97*20+100,0)</f>
        <v>0</v>
      </c>
      <c r="H97" s="49"/>
      <c r="I97" s="49" t="n">
        <f aca="false">IF(H97,H97*20+100,0)</f>
        <v>0</v>
      </c>
      <c r="J97" s="49"/>
      <c r="K97" s="49" t="n">
        <f aca="false">IF(J97,J97*20+100,0)</f>
        <v>0</v>
      </c>
      <c r="L97" s="49"/>
      <c r="M97" s="49" t="n">
        <f aca="false">IF(L97,L97*20+100,0)</f>
        <v>0</v>
      </c>
      <c r="N97" s="49"/>
      <c r="O97" s="49" t="n">
        <f aca="false">IF(N97,N97*20+100,0)</f>
        <v>0</v>
      </c>
      <c r="P97" s="49"/>
      <c r="Q97" s="50" t="n">
        <f aca="false">IF(P97,P97*20+100,0)</f>
        <v>0</v>
      </c>
      <c r="R97" s="49"/>
      <c r="S97" s="51" t="n">
        <f aca="false">IF(R97,R97*20+100,0)</f>
        <v>0</v>
      </c>
    </row>
    <row r="98" customFormat="false" ht="15" hidden="false" customHeight="false" outlineLevel="0" collapsed="false">
      <c r="A98" s="55" t="n">
        <v>5</v>
      </c>
      <c r="B98" s="49"/>
      <c r="C98" s="49" t="n">
        <f aca="false">IF(B98,B98*20+100,0)</f>
        <v>0</v>
      </c>
      <c r="D98" s="49"/>
      <c r="E98" s="49" t="n">
        <f aca="false">IF(D98,D98*20+100,0)</f>
        <v>0</v>
      </c>
      <c r="F98" s="49"/>
      <c r="G98" s="49" t="n">
        <f aca="false">IF(F98,F98*20+100,0)</f>
        <v>0</v>
      </c>
      <c r="H98" s="49"/>
      <c r="I98" s="49" t="n">
        <f aca="false">IF(H98,H98*20+100,0)</f>
        <v>0</v>
      </c>
      <c r="J98" s="49"/>
      <c r="K98" s="49" t="n">
        <f aca="false">IF(J98,J98*20+100,0)</f>
        <v>0</v>
      </c>
      <c r="L98" s="49"/>
      <c r="M98" s="49" t="n">
        <f aca="false">IF(L98,L98*20+100,0)</f>
        <v>0</v>
      </c>
      <c r="N98" s="49"/>
      <c r="O98" s="49" t="n">
        <f aca="false">IF(N98,N98*20+100,0)</f>
        <v>0</v>
      </c>
      <c r="P98" s="49"/>
      <c r="Q98" s="50" t="n">
        <f aca="false">IF(P98,P98*20+100,0)</f>
        <v>0</v>
      </c>
      <c r="R98" s="49"/>
      <c r="S98" s="51" t="n">
        <f aca="false">IF(R98,R98*20+100,0)</f>
        <v>0</v>
      </c>
    </row>
    <row r="99" customFormat="false" ht="15" hidden="false" customHeight="false" outlineLevel="0" collapsed="false">
      <c r="A99" s="55" t="n">
        <v>6</v>
      </c>
      <c r="B99" s="49"/>
      <c r="C99" s="49" t="n">
        <f aca="false">IF(B99,B99*20+100,0)</f>
        <v>0</v>
      </c>
      <c r="D99" s="49"/>
      <c r="E99" s="49" t="n">
        <f aca="false">IF(D99,D99*20+100,0)</f>
        <v>0</v>
      </c>
      <c r="F99" s="49"/>
      <c r="G99" s="49" t="n">
        <f aca="false">IF(F99,F99*20+100,0)</f>
        <v>0</v>
      </c>
      <c r="H99" s="49"/>
      <c r="I99" s="49" t="n">
        <f aca="false">IF(H99,H99*20+100,0)</f>
        <v>0</v>
      </c>
      <c r="J99" s="49"/>
      <c r="K99" s="49" t="n">
        <f aca="false">IF(J99,J99*20+100,0)</f>
        <v>0</v>
      </c>
      <c r="L99" s="49"/>
      <c r="M99" s="49" t="n">
        <f aca="false">IF(L99,L99*20+100,0)</f>
        <v>0</v>
      </c>
      <c r="N99" s="49"/>
      <c r="O99" s="49" t="n">
        <f aca="false">IF(N99,N99*20+100,0)</f>
        <v>0</v>
      </c>
      <c r="P99" s="49"/>
      <c r="Q99" s="50" t="n">
        <f aca="false">IF(P99,P99*20+100,0)</f>
        <v>0</v>
      </c>
      <c r="R99" s="49"/>
      <c r="S99" s="51" t="n">
        <f aca="false">IF(R99,R99*20+100,0)</f>
        <v>0</v>
      </c>
    </row>
    <row r="100" customFormat="false" ht="15" hidden="false" customHeight="false" outlineLevel="0" collapsed="false">
      <c r="A100" s="55" t="n">
        <v>7</v>
      </c>
      <c r="B100" s="49"/>
      <c r="C100" s="49" t="n">
        <f aca="false">IF(B100,B100*20+100,0)</f>
        <v>0</v>
      </c>
      <c r="D100" s="49"/>
      <c r="E100" s="49" t="n">
        <f aca="false">IF(D100,D100*20+100,0)</f>
        <v>0</v>
      </c>
      <c r="F100" s="49"/>
      <c r="G100" s="49" t="n">
        <f aca="false">IF(F100,F100*20+100,0)</f>
        <v>0</v>
      </c>
      <c r="H100" s="49"/>
      <c r="I100" s="49" t="n">
        <f aca="false">IF(H100,H100*20+100,0)</f>
        <v>0</v>
      </c>
      <c r="J100" s="49"/>
      <c r="K100" s="49" t="n">
        <f aca="false">IF(J100,J100*20+100,0)</f>
        <v>0</v>
      </c>
      <c r="L100" s="49"/>
      <c r="M100" s="49" t="n">
        <f aca="false">IF(L100,L100*20+100,0)</f>
        <v>0</v>
      </c>
      <c r="N100" s="49"/>
      <c r="O100" s="49" t="n">
        <f aca="false">IF(N100,N100*20+100,0)</f>
        <v>0</v>
      </c>
      <c r="P100" s="49"/>
      <c r="Q100" s="50" t="n">
        <f aca="false">IF(P100,P100*20+100,0)</f>
        <v>0</v>
      </c>
      <c r="R100" s="49"/>
      <c r="S100" s="51" t="n">
        <f aca="false">IF(R100,R100*20+100,0)</f>
        <v>0</v>
      </c>
    </row>
    <row r="101" customFormat="false" ht="15" hidden="false" customHeight="false" outlineLevel="0" collapsed="false">
      <c r="A101" s="55" t="n">
        <v>8</v>
      </c>
      <c r="B101" s="49"/>
      <c r="C101" s="49" t="n">
        <f aca="false">IF(B101,B101*20+100,0)</f>
        <v>0</v>
      </c>
      <c r="D101" s="49"/>
      <c r="E101" s="49" t="n">
        <f aca="false">IF(D101,D101*20+100,0)</f>
        <v>0</v>
      </c>
      <c r="F101" s="49"/>
      <c r="G101" s="49" t="n">
        <f aca="false">IF(F101,F101*20+100,0)</f>
        <v>0</v>
      </c>
      <c r="H101" s="49"/>
      <c r="I101" s="49" t="n">
        <f aca="false">IF(H101,H101*20+100,0)</f>
        <v>0</v>
      </c>
      <c r="J101" s="49"/>
      <c r="K101" s="49" t="n">
        <f aca="false">IF(J101,J101*20+100,0)</f>
        <v>0</v>
      </c>
      <c r="L101" s="49"/>
      <c r="M101" s="49" t="n">
        <f aca="false">IF(L101,L101*20+100,0)</f>
        <v>0</v>
      </c>
      <c r="N101" s="49"/>
      <c r="O101" s="49" t="n">
        <f aca="false">IF(N101,N101*20+100,0)</f>
        <v>0</v>
      </c>
      <c r="P101" s="49"/>
      <c r="Q101" s="50" t="n">
        <f aca="false">IF(P101,P101*20+100,0)</f>
        <v>0</v>
      </c>
      <c r="R101" s="49"/>
      <c r="S101" s="51" t="n">
        <f aca="false">IF(R101,R101*20+100,0)</f>
        <v>0</v>
      </c>
    </row>
    <row r="102" customFormat="false" ht="15" hidden="false" customHeight="false" outlineLevel="0" collapsed="false">
      <c r="A102" s="55" t="n">
        <v>9</v>
      </c>
      <c r="B102" s="49"/>
      <c r="C102" s="49" t="n">
        <f aca="false">IF(B102,B102*20+100,0)</f>
        <v>0</v>
      </c>
      <c r="D102" s="49"/>
      <c r="E102" s="49" t="n">
        <f aca="false">IF(D102,D102*20+100,0)</f>
        <v>0</v>
      </c>
      <c r="F102" s="49"/>
      <c r="G102" s="49" t="n">
        <f aca="false">IF(F102,F102*20+100,0)</f>
        <v>0</v>
      </c>
      <c r="H102" s="49"/>
      <c r="I102" s="49" t="n">
        <f aca="false">IF(H102,H102*20+100,0)</f>
        <v>0</v>
      </c>
      <c r="J102" s="49"/>
      <c r="K102" s="49" t="n">
        <f aca="false">IF(J102,J102*20+100,0)</f>
        <v>0</v>
      </c>
      <c r="L102" s="49"/>
      <c r="M102" s="49" t="n">
        <f aca="false">IF(L102,L102*20+100,0)</f>
        <v>0</v>
      </c>
      <c r="N102" s="49"/>
      <c r="O102" s="49" t="n">
        <f aca="false">IF(N102,N102*20+100,0)</f>
        <v>0</v>
      </c>
      <c r="P102" s="49"/>
      <c r="Q102" s="50" t="n">
        <f aca="false">IF(P102,P102*20+100,0)</f>
        <v>0</v>
      </c>
      <c r="R102" s="49"/>
      <c r="S102" s="51" t="n">
        <f aca="false">IF(R102,R102*20+100,0)</f>
        <v>0</v>
      </c>
    </row>
    <row r="103" customFormat="false" ht="15" hidden="false" customHeight="false" outlineLevel="0" collapsed="false">
      <c r="A103" s="55" t="n">
        <v>10</v>
      </c>
      <c r="B103" s="49"/>
      <c r="C103" s="49" t="n">
        <f aca="false">IF(B103,B103*20+100,0)</f>
        <v>0</v>
      </c>
      <c r="D103" s="49"/>
      <c r="E103" s="49" t="n">
        <f aca="false">IF(D103,D103*20+100,0)</f>
        <v>0</v>
      </c>
      <c r="F103" s="49"/>
      <c r="G103" s="49" t="n">
        <f aca="false">IF(F103,F103*20+100,0)</f>
        <v>0</v>
      </c>
      <c r="H103" s="49"/>
      <c r="I103" s="49" t="n">
        <f aca="false">IF(H103,H103*20+100,0)</f>
        <v>0</v>
      </c>
      <c r="J103" s="49"/>
      <c r="K103" s="49" t="n">
        <f aca="false">IF(J103,J103*20+100,0)</f>
        <v>0</v>
      </c>
      <c r="L103" s="49"/>
      <c r="M103" s="49" t="n">
        <f aca="false">IF(L103,L103*20+100,0)</f>
        <v>0</v>
      </c>
      <c r="N103" s="49"/>
      <c r="O103" s="49" t="n">
        <f aca="false">IF(N103,N103*20+100,0)</f>
        <v>0</v>
      </c>
      <c r="P103" s="49"/>
      <c r="Q103" s="50" t="n">
        <f aca="false">IF(P103,P103*20+100,0)</f>
        <v>0</v>
      </c>
      <c r="R103" s="49"/>
      <c r="S103" s="51" t="n">
        <f aca="false">IF(R103,R103*20+100,0)</f>
        <v>0</v>
      </c>
    </row>
    <row r="104" customFormat="false" ht="15" hidden="false" customHeight="false" outlineLevel="0" collapsed="false">
      <c r="A104" s="55" t="n">
        <v>11</v>
      </c>
      <c r="B104" s="49"/>
      <c r="C104" s="49" t="n">
        <f aca="false">IF(B104,B104*20+100,0)</f>
        <v>0</v>
      </c>
      <c r="D104" s="49"/>
      <c r="E104" s="49" t="n">
        <f aca="false">IF(D104,D104*20+100,0)</f>
        <v>0</v>
      </c>
      <c r="F104" s="49"/>
      <c r="G104" s="49" t="n">
        <f aca="false">IF(F104,F104*20+100,0)</f>
        <v>0</v>
      </c>
      <c r="H104" s="49"/>
      <c r="I104" s="49" t="n">
        <f aca="false">IF(H104,H104*20+100,0)</f>
        <v>0</v>
      </c>
      <c r="J104" s="49"/>
      <c r="K104" s="49" t="n">
        <f aca="false">IF(J104,J104*20+100,0)</f>
        <v>0</v>
      </c>
      <c r="L104" s="49"/>
      <c r="M104" s="49" t="n">
        <f aca="false">IF(L104,L104*20+100,0)</f>
        <v>0</v>
      </c>
      <c r="N104" s="49"/>
      <c r="O104" s="49" t="n">
        <f aca="false">IF(N104,N104*20+100,0)</f>
        <v>0</v>
      </c>
      <c r="P104" s="49"/>
      <c r="Q104" s="50" t="n">
        <f aca="false">IF(P104,P104*20+100,0)</f>
        <v>0</v>
      </c>
      <c r="R104" s="49"/>
      <c r="S104" s="51" t="n">
        <f aca="false">IF(R104,R104*20+100,0)</f>
        <v>0</v>
      </c>
    </row>
    <row r="105" customFormat="false" ht="15" hidden="false" customHeight="false" outlineLevel="0" collapsed="false">
      <c r="A105" s="55" t="n">
        <v>12</v>
      </c>
      <c r="B105" s="49"/>
      <c r="C105" s="49" t="n">
        <f aca="false">IF(B105,B105*20+100,0)</f>
        <v>0</v>
      </c>
      <c r="D105" s="49"/>
      <c r="E105" s="49" t="n">
        <f aca="false">IF(D105,D105*20+100,0)</f>
        <v>0</v>
      </c>
      <c r="F105" s="49"/>
      <c r="G105" s="49" t="n">
        <f aca="false">IF(F105,F105*20+100,0)</f>
        <v>0</v>
      </c>
      <c r="H105" s="49"/>
      <c r="I105" s="49" t="n">
        <f aca="false">IF(H105,H105*20+100,0)</f>
        <v>0</v>
      </c>
      <c r="J105" s="49"/>
      <c r="K105" s="49" t="n">
        <f aca="false">IF(J105,J105*20+100,0)</f>
        <v>0</v>
      </c>
      <c r="L105" s="49"/>
      <c r="M105" s="49" t="n">
        <f aca="false">IF(L105,L105*20+100,0)</f>
        <v>0</v>
      </c>
      <c r="N105" s="49"/>
      <c r="O105" s="49" t="n">
        <f aca="false">IF(N105,N105*20+100,0)</f>
        <v>0</v>
      </c>
      <c r="P105" s="49"/>
      <c r="Q105" s="50" t="n">
        <f aca="false">IF(P105,P105*20+100,0)</f>
        <v>0</v>
      </c>
      <c r="R105" s="49"/>
      <c r="S105" s="51" t="n">
        <f aca="false">IF(R105,R105*20+100,0)</f>
        <v>0</v>
      </c>
    </row>
    <row r="106" customFormat="false" ht="15" hidden="false" customHeight="false" outlineLevel="0" collapsed="false">
      <c r="A106" s="55" t="n">
        <v>13</v>
      </c>
      <c r="B106" s="49"/>
      <c r="C106" s="49" t="n">
        <f aca="false">IF(B106,B106*20+100,0)</f>
        <v>0</v>
      </c>
      <c r="D106" s="49"/>
      <c r="E106" s="49" t="n">
        <f aca="false">IF(D106,D106*20+100,0)</f>
        <v>0</v>
      </c>
      <c r="F106" s="49"/>
      <c r="G106" s="49" t="n">
        <f aca="false">IF(F106,F106*20+100,0)</f>
        <v>0</v>
      </c>
      <c r="H106" s="49"/>
      <c r="I106" s="49" t="n">
        <f aca="false">IF(H106,H106*20+100,0)</f>
        <v>0</v>
      </c>
      <c r="J106" s="49"/>
      <c r="K106" s="49" t="n">
        <f aca="false">IF(J106,J106*20+100,0)</f>
        <v>0</v>
      </c>
      <c r="L106" s="49"/>
      <c r="M106" s="49" t="n">
        <f aca="false">IF(L106,L106*20+100,0)</f>
        <v>0</v>
      </c>
      <c r="N106" s="49"/>
      <c r="O106" s="49" t="n">
        <f aca="false">IF(N106,N106*20+100,0)</f>
        <v>0</v>
      </c>
      <c r="P106" s="49"/>
      <c r="Q106" s="50" t="n">
        <f aca="false">IF(P106,P106*20+100,0)</f>
        <v>0</v>
      </c>
      <c r="R106" s="49"/>
      <c r="S106" s="51" t="n">
        <f aca="false">IF(R106,R106*20+100,0)</f>
        <v>0</v>
      </c>
    </row>
    <row r="107" customFormat="false" ht="15" hidden="false" customHeight="false" outlineLevel="0" collapsed="false">
      <c r="A107" s="55" t="n">
        <v>14</v>
      </c>
      <c r="B107" s="49"/>
      <c r="C107" s="49" t="n">
        <f aca="false">IF(B107,B107*20+100,0)</f>
        <v>0</v>
      </c>
      <c r="D107" s="49"/>
      <c r="E107" s="49" t="n">
        <f aca="false">IF(D107,D107*20+100,0)</f>
        <v>0</v>
      </c>
      <c r="F107" s="49"/>
      <c r="G107" s="49" t="n">
        <f aca="false">IF(F107,F107*20+100,0)</f>
        <v>0</v>
      </c>
      <c r="H107" s="49"/>
      <c r="I107" s="49" t="n">
        <f aca="false">IF(H107,H107*20+100,0)</f>
        <v>0</v>
      </c>
      <c r="J107" s="49"/>
      <c r="K107" s="49" t="n">
        <f aca="false">IF(J107,J107*20+100,0)</f>
        <v>0</v>
      </c>
      <c r="L107" s="49"/>
      <c r="M107" s="49" t="n">
        <f aca="false">IF(L107,L107*20+100,0)</f>
        <v>0</v>
      </c>
      <c r="N107" s="49"/>
      <c r="O107" s="49" t="n">
        <f aca="false">IF(N107,N107*20+100,0)</f>
        <v>0</v>
      </c>
      <c r="P107" s="49"/>
      <c r="Q107" s="50" t="n">
        <f aca="false">IF(P107,P107*20+100,0)</f>
        <v>0</v>
      </c>
      <c r="R107" s="49"/>
      <c r="S107" s="51" t="n">
        <f aca="false">IF(R107,R107*20+100,0)</f>
        <v>0</v>
      </c>
    </row>
    <row r="108" customFormat="false" ht="15" hidden="false" customHeight="false" outlineLevel="0" collapsed="false">
      <c r="A108" s="55" t="n">
        <v>15</v>
      </c>
      <c r="B108" s="49"/>
      <c r="C108" s="49" t="n">
        <f aca="false">IF(B108,B108*20+100,0)</f>
        <v>0</v>
      </c>
      <c r="D108" s="49"/>
      <c r="E108" s="49" t="n">
        <f aca="false">IF(D108,D108*20+100,0)</f>
        <v>0</v>
      </c>
      <c r="F108" s="49"/>
      <c r="G108" s="49" t="n">
        <f aca="false">IF(F108,F108*20+100,0)</f>
        <v>0</v>
      </c>
      <c r="H108" s="49"/>
      <c r="I108" s="49" t="n">
        <f aca="false">IF(H108,H108*20+100,0)</f>
        <v>0</v>
      </c>
      <c r="J108" s="49"/>
      <c r="K108" s="49" t="n">
        <f aca="false">IF(J108,J108*20+100,0)</f>
        <v>0</v>
      </c>
      <c r="L108" s="49"/>
      <c r="M108" s="49" t="n">
        <f aca="false">IF(L108,L108*20+100,0)</f>
        <v>0</v>
      </c>
      <c r="N108" s="49"/>
      <c r="O108" s="49" t="n">
        <f aca="false">IF(N108,N108*20+100,0)</f>
        <v>0</v>
      </c>
      <c r="P108" s="49"/>
      <c r="Q108" s="50" t="n">
        <f aca="false">IF(P108,P108*20+100,0)</f>
        <v>0</v>
      </c>
      <c r="R108" s="49"/>
      <c r="S108" s="51" t="n">
        <f aca="false">IF(R108,R108*20+100,0)</f>
        <v>0</v>
      </c>
    </row>
    <row r="109" customFormat="false" ht="15" hidden="false" customHeight="false" outlineLevel="0" collapsed="false">
      <c r="A109" s="55" t="n">
        <v>16</v>
      </c>
      <c r="B109" s="49"/>
      <c r="C109" s="49" t="n">
        <f aca="false">IF(B109,B109*20+100,0)</f>
        <v>0</v>
      </c>
      <c r="D109" s="49"/>
      <c r="E109" s="49" t="n">
        <f aca="false">IF(D109,D109*20+100,0)</f>
        <v>0</v>
      </c>
      <c r="F109" s="49"/>
      <c r="G109" s="49" t="n">
        <f aca="false">IF(F109,F109*20+100,0)</f>
        <v>0</v>
      </c>
      <c r="H109" s="49"/>
      <c r="I109" s="49" t="n">
        <f aca="false">IF(H109,H109*20+100,0)</f>
        <v>0</v>
      </c>
      <c r="J109" s="49"/>
      <c r="K109" s="49" t="n">
        <f aca="false">IF(J109,J109*20+100,0)</f>
        <v>0</v>
      </c>
      <c r="L109" s="49"/>
      <c r="M109" s="49" t="n">
        <f aca="false">IF(L109,L109*20+100,0)</f>
        <v>0</v>
      </c>
      <c r="N109" s="49"/>
      <c r="O109" s="49" t="n">
        <f aca="false">IF(N109,N109*20+100,0)</f>
        <v>0</v>
      </c>
      <c r="P109" s="49"/>
      <c r="Q109" s="50" t="n">
        <f aca="false">IF(P109,P109*20+100,0)</f>
        <v>0</v>
      </c>
      <c r="R109" s="49"/>
      <c r="S109" s="51" t="n">
        <f aca="false">IF(R109,R109*20+100,0)</f>
        <v>0</v>
      </c>
    </row>
    <row r="110" customFormat="false" ht="15" hidden="false" customHeight="false" outlineLevel="0" collapsed="false">
      <c r="A110" s="55" t="n">
        <v>17</v>
      </c>
      <c r="B110" s="49"/>
      <c r="C110" s="49" t="n">
        <f aca="false">IF(B110,B110*20+100,0)</f>
        <v>0</v>
      </c>
      <c r="D110" s="49"/>
      <c r="E110" s="49" t="n">
        <f aca="false">IF(D110,D110*20+100,0)</f>
        <v>0</v>
      </c>
      <c r="F110" s="49"/>
      <c r="G110" s="49" t="n">
        <f aca="false">IF(F110,F110*20+100,0)</f>
        <v>0</v>
      </c>
      <c r="H110" s="49"/>
      <c r="I110" s="49" t="n">
        <f aca="false">IF(H110,H110*20+100,0)</f>
        <v>0</v>
      </c>
      <c r="J110" s="49"/>
      <c r="K110" s="49" t="n">
        <f aca="false">IF(J110,J110*20+100,0)</f>
        <v>0</v>
      </c>
      <c r="L110" s="49"/>
      <c r="M110" s="49" t="n">
        <f aca="false">IF(L110,L110*20+100,0)</f>
        <v>0</v>
      </c>
      <c r="N110" s="49"/>
      <c r="O110" s="49" t="n">
        <f aca="false">IF(N110,N110*20+100,0)</f>
        <v>0</v>
      </c>
      <c r="P110" s="49"/>
      <c r="Q110" s="50" t="n">
        <f aca="false">IF(P110,P110*20+100,0)</f>
        <v>0</v>
      </c>
      <c r="R110" s="49"/>
      <c r="S110" s="51" t="n">
        <f aca="false">IF(R110,R110*20+100,0)</f>
        <v>0</v>
      </c>
    </row>
    <row r="111" customFormat="false" ht="15" hidden="false" customHeight="false" outlineLevel="0" collapsed="false">
      <c r="A111" s="55" t="n">
        <v>18</v>
      </c>
      <c r="B111" s="49"/>
      <c r="C111" s="49" t="n">
        <f aca="false">IF(B111,B111*20+100,0)</f>
        <v>0</v>
      </c>
      <c r="D111" s="49"/>
      <c r="E111" s="49" t="n">
        <f aca="false">IF(D111,D111*20+100,0)</f>
        <v>0</v>
      </c>
      <c r="F111" s="49"/>
      <c r="G111" s="49" t="n">
        <f aca="false">IF(F111,F111*20+100,0)</f>
        <v>0</v>
      </c>
      <c r="H111" s="49"/>
      <c r="I111" s="49" t="n">
        <f aca="false">IF(H111,H111*20+100,0)</f>
        <v>0</v>
      </c>
      <c r="J111" s="49"/>
      <c r="K111" s="49" t="n">
        <f aca="false">IF(J111,J111*20+100,0)</f>
        <v>0</v>
      </c>
      <c r="L111" s="49"/>
      <c r="M111" s="49" t="n">
        <f aca="false">IF(L111,L111*20+100,0)</f>
        <v>0</v>
      </c>
      <c r="N111" s="49"/>
      <c r="O111" s="49" t="n">
        <f aca="false">IF(N111,N111*20+100,0)</f>
        <v>0</v>
      </c>
      <c r="P111" s="49"/>
      <c r="Q111" s="50" t="n">
        <f aca="false">IF(P111,P111*20+100,0)</f>
        <v>0</v>
      </c>
      <c r="R111" s="49"/>
      <c r="S111" s="51" t="n">
        <f aca="false">IF(R111,R111*20+100,0)</f>
        <v>0</v>
      </c>
    </row>
    <row r="112" customFormat="false" ht="15" hidden="false" customHeight="false" outlineLevel="0" collapsed="false">
      <c r="A112" s="55" t="n">
        <v>19</v>
      </c>
      <c r="B112" s="49"/>
      <c r="C112" s="49" t="n">
        <f aca="false">IF(B112,B112*20+100,0)</f>
        <v>0</v>
      </c>
      <c r="D112" s="49"/>
      <c r="E112" s="49" t="n">
        <f aca="false">IF(D112,D112*20+100,0)</f>
        <v>0</v>
      </c>
      <c r="F112" s="49"/>
      <c r="G112" s="49" t="n">
        <f aca="false">IF(F112,F112*20+100,0)</f>
        <v>0</v>
      </c>
      <c r="H112" s="49"/>
      <c r="I112" s="49" t="n">
        <f aca="false">IF(H112,H112*20+100,0)</f>
        <v>0</v>
      </c>
      <c r="J112" s="49"/>
      <c r="K112" s="49" t="n">
        <f aca="false">IF(J112,J112*20+100,0)</f>
        <v>0</v>
      </c>
      <c r="L112" s="49"/>
      <c r="M112" s="49" t="n">
        <f aca="false">IF(L112,L112*20+100,0)</f>
        <v>0</v>
      </c>
      <c r="N112" s="49"/>
      <c r="O112" s="49" t="n">
        <f aca="false">IF(N112,N112*20+100,0)</f>
        <v>0</v>
      </c>
      <c r="P112" s="49"/>
      <c r="Q112" s="50" t="n">
        <f aca="false">IF(P112,P112*20+100,0)</f>
        <v>0</v>
      </c>
      <c r="R112" s="49"/>
      <c r="S112" s="51" t="n">
        <f aca="false">IF(R112,R112*20+100,0)</f>
        <v>0</v>
      </c>
    </row>
    <row r="113" customFormat="false" ht="15" hidden="false" customHeight="false" outlineLevel="0" collapsed="false">
      <c r="A113" s="55" t="n">
        <v>20</v>
      </c>
      <c r="B113" s="49"/>
      <c r="C113" s="49" t="n">
        <f aca="false">IF(B113,B113*20+100,0)</f>
        <v>0</v>
      </c>
      <c r="D113" s="49"/>
      <c r="E113" s="49" t="n">
        <f aca="false">IF(D113,D113*20+100,0)</f>
        <v>0</v>
      </c>
      <c r="F113" s="49"/>
      <c r="G113" s="49" t="n">
        <f aca="false">IF(F113,F113*20+100,0)</f>
        <v>0</v>
      </c>
      <c r="H113" s="49"/>
      <c r="I113" s="49" t="n">
        <f aca="false">IF(H113,H113*20+100,0)</f>
        <v>0</v>
      </c>
      <c r="J113" s="49"/>
      <c r="K113" s="49" t="n">
        <f aca="false">IF(J113,J113*20+100,0)</f>
        <v>0</v>
      </c>
      <c r="L113" s="49"/>
      <c r="M113" s="49" t="n">
        <f aca="false">IF(L113,L113*20+100,0)</f>
        <v>0</v>
      </c>
      <c r="N113" s="49"/>
      <c r="O113" s="49" t="n">
        <f aca="false">IF(N113,N113*20+100,0)</f>
        <v>0</v>
      </c>
      <c r="P113" s="49"/>
      <c r="Q113" s="50" t="n">
        <f aca="false">IF(P113,P113*20+100,0)</f>
        <v>0</v>
      </c>
      <c r="R113" s="49"/>
      <c r="S113" s="51" t="n">
        <f aca="false">IF(R113,R113*20+100,0)</f>
        <v>0</v>
      </c>
    </row>
    <row r="114" customFormat="false" ht="15" hidden="false" customHeight="false" outlineLevel="0" collapsed="false">
      <c r="A114" s="55" t="n">
        <v>21</v>
      </c>
      <c r="B114" s="49"/>
      <c r="C114" s="49" t="n">
        <f aca="false">IF(B114,B114*20+100,0)</f>
        <v>0</v>
      </c>
      <c r="D114" s="49"/>
      <c r="E114" s="49" t="n">
        <f aca="false">IF(D114,D114*20+100,0)</f>
        <v>0</v>
      </c>
      <c r="F114" s="49"/>
      <c r="G114" s="49" t="n">
        <f aca="false">IF(F114,F114*20+100,0)</f>
        <v>0</v>
      </c>
      <c r="H114" s="49"/>
      <c r="I114" s="49" t="n">
        <f aca="false">IF(H114,H114*20+100,0)</f>
        <v>0</v>
      </c>
      <c r="J114" s="49"/>
      <c r="K114" s="49" t="n">
        <f aca="false">IF(J114,J114*20+100,0)</f>
        <v>0</v>
      </c>
      <c r="L114" s="49"/>
      <c r="M114" s="49" t="n">
        <f aca="false">IF(L114,L114*20+100,0)</f>
        <v>0</v>
      </c>
      <c r="N114" s="49"/>
      <c r="O114" s="49" t="n">
        <f aca="false">IF(N114,N114*20+100,0)</f>
        <v>0</v>
      </c>
      <c r="P114" s="49"/>
      <c r="Q114" s="50" t="n">
        <f aca="false">IF(P114,P114*20+100,0)</f>
        <v>0</v>
      </c>
      <c r="R114" s="49"/>
      <c r="S114" s="51" t="n">
        <f aca="false">IF(R114,R114*20+100,0)</f>
        <v>0</v>
      </c>
    </row>
    <row r="115" customFormat="false" ht="15" hidden="false" customHeight="false" outlineLevel="0" collapsed="false">
      <c r="A115" s="55" t="n">
        <v>22</v>
      </c>
      <c r="B115" s="49"/>
      <c r="C115" s="49" t="n">
        <f aca="false">IF(B115,B115*20+100,0)</f>
        <v>0</v>
      </c>
      <c r="D115" s="49"/>
      <c r="E115" s="49" t="n">
        <f aca="false">IF(D115,D115*20+100,0)</f>
        <v>0</v>
      </c>
      <c r="F115" s="49"/>
      <c r="G115" s="49" t="n">
        <f aca="false">IF(F115,F115*20+100,0)</f>
        <v>0</v>
      </c>
      <c r="H115" s="49"/>
      <c r="I115" s="49" t="n">
        <f aca="false">IF(H115,H115*20+100,0)</f>
        <v>0</v>
      </c>
      <c r="J115" s="49"/>
      <c r="K115" s="49" t="n">
        <f aca="false">IF(J115,J115*20+100,0)</f>
        <v>0</v>
      </c>
      <c r="L115" s="49"/>
      <c r="M115" s="49" t="n">
        <f aca="false">IF(L115,L115*20+100,0)</f>
        <v>0</v>
      </c>
      <c r="N115" s="49"/>
      <c r="O115" s="49" t="n">
        <f aca="false">IF(N115,N115*20+100,0)</f>
        <v>0</v>
      </c>
      <c r="P115" s="49"/>
      <c r="Q115" s="50" t="n">
        <f aca="false">IF(P115,P115*20+100,0)</f>
        <v>0</v>
      </c>
      <c r="R115" s="49"/>
      <c r="S115" s="51" t="n">
        <f aca="false">IF(R115,R115*20+100,0)</f>
        <v>0</v>
      </c>
    </row>
    <row r="116" customFormat="false" ht="15" hidden="false" customHeight="false" outlineLevel="0" collapsed="false">
      <c r="A116" s="55" t="n">
        <v>23</v>
      </c>
      <c r="B116" s="49"/>
      <c r="C116" s="49" t="n">
        <f aca="false">IF(B116,B116*20+100,0)</f>
        <v>0</v>
      </c>
      <c r="D116" s="49"/>
      <c r="E116" s="49" t="n">
        <f aca="false">IF(D116,D116*20+100,0)</f>
        <v>0</v>
      </c>
      <c r="F116" s="49"/>
      <c r="G116" s="49" t="n">
        <f aca="false">IF(F116,F116*20+100,0)</f>
        <v>0</v>
      </c>
      <c r="H116" s="49"/>
      <c r="I116" s="49" t="n">
        <f aca="false">IF(H116,H116*20+100,0)</f>
        <v>0</v>
      </c>
      <c r="J116" s="49"/>
      <c r="K116" s="49" t="n">
        <f aca="false">IF(J116,J116*20+100,0)</f>
        <v>0</v>
      </c>
      <c r="L116" s="49"/>
      <c r="M116" s="49" t="n">
        <f aca="false">IF(L116,L116*20+100,0)</f>
        <v>0</v>
      </c>
      <c r="N116" s="49"/>
      <c r="O116" s="49" t="n">
        <f aca="false">IF(N116,N116*20+100,0)</f>
        <v>0</v>
      </c>
      <c r="P116" s="49"/>
      <c r="Q116" s="50" t="n">
        <f aca="false">IF(P116,P116*20+100,0)</f>
        <v>0</v>
      </c>
      <c r="R116" s="49"/>
      <c r="S116" s="51" t="n">
        <f aca="false">IF(R116,R116*20+100,0)</f>
        <v>0</v>
      </c>
    </row>
    <row r="117" customFormat="false" ht="15" hidden="false" customHeight="false" outlineLevel="0" collapsed="false">
      <c r="A117" s="55" t="n">
        <v>24</v>
      </c>
      <c r="B117" s="49"/>
      <c r="C117" s="49" t="n">
        <f aca="false">IF(B117,B117*20+100,0)</f>
        <v>0</v>
      </c>
      <c r="D117" s="49"/>
      <c r="E117" s="49" t="n">
        <f aca="false">IF(D117,D117*20+100,0)</f>
        <v>0</v>
      </c>
      <c r="F117" s="49"/>
      <c r="G117" s="49" t="n">
        <f aca="false">IF(F117,F117*20+100,0)</f>
        <v>0</v>
      </c>
      <c r="H117" s="49"/>
      <c r="I117" s="49" t="n">
        <f aca="false">IF(H117,H117*20+100,0)</f>
        <v>0</v>
      </c>
      <c r="J117" s="49"/>
      <c r="K117" s="49" t="n">
        <f aca="false">IF(J117,J117*20+100,0)</f>
        <v>0</v>
      </c>
      <c r="L117" s="49"/>
      <c r="M117" s="49" t="n">
        <f aca="false">IF(L117,L117*20+100,0)</f>
        <v>0</v>
      </c>
      <c r="N117" s="49"/>
      <c r="O117" s="49" t="n">
        <f aca="false">IF(N117,N117*20+100,0)</f>
        <v>0</v>
      </c>
      <c r="P117" s="49"/>
      <c r="Q117" s="50" t="n">
        <f aca="false">IF(P117,P117*20+100,0)</f>
        <v>0</v>
      </c>
      <c r="R117" s="49"/>
      <c r="S117" s="51" t="n">
        <f aca="false">IF(R117,R117*20+100,0)</f>
        <v>0</v>
      </c>
    </row>
    <row r="118" customFormat="false" ht="15" hidden="false" customHeight="false" outlineLevel="0" collapsed="false">
      <c r="A118" s="55" t="n">
        <v>25</v>
      </c>
      <c r="B118" s="49"/>
      <c r="C118" s="49" t="n">
        <f aca="false">IF(B118,B118*20+100,0)</f>
        <v>0</v>
      </c>
      <c r="D118" s="49"/>
      <c r="E118" s="49" t="n">
        <f aca="false">IF(D118,D118*20+100,0)</f>
        <v>0</v>
      </c>
      <c r="F118" s="49"/>
      <c r="G118" s="49" t="n">
        <f aca="false">IF(F118,F118*20+100,0)</f>
        <v>0</v>
      </c>
      <c r="H118" s="49"/>
      <c r="I118" s="49" t="n">
        <f aca="false">IF(H118,H118*20+100,0)</f>
        <v>0</v>
      </c>
      <c r="J118" s="49"/>
      <c r="K118" s="49" t="n">
        <f aca="false">IF(J118,J118*20+100,0)</f>
        <v>0</v>
      </c>
      <c r="L118" s="49"/>
      <c r="M118" s="49" t="n">
        <f aca="false">IF(L118,L118*20+100,0)</f>
        <v>0</v>
      </c>
      <c r="N118" s="49"/>
      <c r="O118" s="49" t="n">
        <f aca="false">IF(N118,N118*20+100,0)</f>
        <v>0</v>
      </c>
      <c r="P118" s="49"/>
      <c r="Q118" s="50" t="n">
        <f aca="false">IF(P118,P118*20+100,0)</f>
        <v>0</v>
      </c>
      <c r="R118" s="49"/>
      <c r="S118" s="51" t="n">
        <f aca="false">IF(R118,R118*20+100,0)</f>
        <v>0</v>
      </c>
    </row>
    <row r="119" customFormat="false" ht="15" hidden="false" customHeight="false" outlineLevel="0" collapsed="false">
      <c r="A119" s="55" t="n">
        <v>26</v>
      </c>
      <c r="B119" s="49"/>
      <c r="C119" s="49" t="n">
        <f aca="false">IF(B119,B119*20+100,0)</f>
        <v>0</v>
      </c>
      <c r="D119" s="49"/>
      <c r="E119" s="49" t="n">
        <f aca="false">IF(D119,D119*20+100,0)</f>
        <v>0</v>
      </c>
      <c r="F119" s="49"/>
      <c r="G119" s="49" t="n">
        <f aca="false">IF(F119,F119*20+100,0)</f>
        <v>0</v>
      </c>
      <c r="H119" s="49"/>
      <c r="I119" s="49" t="n">
        <f aca="false">IF(H119,H119*20+100,0)</f>
        <v>0</v>
      </c>
      <c r="J119" s="49"/>
      <c r="K119" s="49" t="n">
        <f aca="false">IF(J119,J119*20+100,0)</f>
        <v>0</v>
      </c>
      <c r="L119" s="49"/>
      <c r="M119" s="49" t="n">
        <f aca="false">IF(L119,L119*20+100,0)</f>
        <v>0</v>
      </c>
      <c r="N119" s="49"/>
      <c r="O119" s="49" t="n">
        <f aca="false">IF(N119,N119*20+100,0)</f>
        <v>0</v>
      </c>
      <c r="P119" s="49"/>
      <c r="Q119" s="50" t="n">
        <f aca="false">IF(P119,P119*20+100,0)</f>
        <v>0</v>
      </c>
      <c r="R119" s="49"/>
      <c r="S119" s="51" t="n">
        <f aca="false">IF(R119,R119*20+100,0)</f>
        <v>0</v>
      </c>
    </row>
    <row r="120" customFormat="false" ht="15" hidden="false" customHeight="false" outlineLevel="0" collapsed="false">
      <c r="A120" s="55" t="n">
        <v>27</v>
      </c>
      <c r="B120" s="49"/>
      <c r="C120" s="49" t="n">
        <f aca="false">IF(B120,B120*20+100,0)</f>
        <v>0</v>
      </c>
      <c r="D120" s="49"/>
      <c r="E120" s="49" t="n">
        <f aca="false">IF(D120,D120*20+100,0)</f>
        <v>0</v>
      </c>
      <c r="F120" s="49"/>
      <c r="G120" s="49" t="n">
        <f aca="false">IF(F120,F120*20+100,0)</f>
        <v>0</v>
      </c>
      <c r="H120" s="49"/>
      <c r="I120" s="49" t="n">
        <f aca="false">IF(H120,H120*20+100,0)</f>
        <v>0</v>
      </c>
      <c r="J120" s="49"/>
      <c r="K120" s="49" t="n">
        <f aca="false">IF(J120,J120*20+100,0)</f>
        <v>0</v>
      </c>
      <c r="L120" s="49"/>
      <c r="M120" s="49" t="n">
        <f aca="false">IF(L120,L120*20+100,0)</f>
        <v>0</v>
      </c>
      <c r="N120" s="49"/>
      <c r="O120" s="49" t="n">
        <f aca="false">IF(N120,N120*20+100,0)</f>
        <v>0</v>
      </c>
      <c r="P120" s="49"/>
      <c r="Q120" s="50" t="n">
        <f aca="false">IF(P120,P120*20+100,0)</f>
        <v>0</v>
      </c>
      <c r="R120" s="49"/>
      <c r="S120" s="51" t="n">
        <f aca="false">IF(R120,R120*20+100,0)</f>
        <v>0</v>
      </c>
    </row>
    <row r="121" customFormat="false" ht="15" hidden="false" customHeight="false" outlineLevel="0" collapsed="false">
      <c r="A121" s="55" t="n">
        <v>28</v>
      </c>
      <c r="B121" s="49"/>
      <c r="C121" s="49" t="n">
        <f aca="false">IF(B121,B121*20+100,0)</f>
        <v>0</v>
      </c>
      <c r="D121" s="49"/>
      <c r="E121" s="49" t="n">
        <f aca="false">IF(D121,D121*20+100,0)</f>
        <v>0</v>
      </c>
      <c r="F121" s="49"/>
      <c r="G121" s="49" t="n">
        <f aca="false">IF(F121,F121*20+100,0)</f>
        <v>0</v>
      </c>
      <c r="H121" s="49"/>
      <c r="I121" s="49" t="n">
        <f aca="false">IF(H121,H121*20+100,0)</f>
        <v>0</v>
      </c>
      <c r="J121" s="49"/>
      <c r="K121" s="49" t="n">
        <f aca="false">IF(J121,J121*20+100,0)</f>
        <v>0</v>
      </c>
      <c r="L121" s="49"/>
      <c r="M121" s="49" t="n">
        <f aca="false">IF(L121,L121*20+100,0)</f>
        <v>0</v>
      </c>
      <c r="N121" s="49"/>
      <c r="O121" s="49" t="n">
        <f aca="false">IF(N121,N121*20+100,0)</f>
        <v>0</v>
      </c>
      <c r="P121" s="49"/>
      <c r="Q121" s="50" t="n">
        <f aca="false">IF(P121,P121*20+100,0)</f>
        <v>0</v>
      </c>
      <c r="R121" s="49"/>
      <c r="S121" s="51" t="n">
        <f aca="false">IF(R121,R121*20+100,0)</f>
        <v>0</v>
      </c>
    </row>
    <row r="122" customFormat="false" ht="15" hidden="false" customHeight="false" outlineLevel="0" collapsed="false">
      <c r="A122" s="55" t="n">
        <v>29</v>
      </c>
      <c r="B122" s="49"/>
      <c r="C122" s="49" t="n">
        <f aca="false">IF(B122,B122*20+100,0)</f>
        <v>0</v>
      </c>
      <c r="D122" s="49"/>
      <c r="E122" s="49" t="n">
        <f aca="false">IF(D122,D122*20+100,0)</f>
        <v>0</v>
      </c>
      <c r="F122" s="49"/>
      <c r="G122" s="49" t="n">
        <f aca="false">IF(F122,F122*20+100,0)</f>
        <v>0</v>
      </c>
      <c r="H122" s="49"/>
      <c r="I122" s="49" t="n">
        <f aca="false">IF(H122,H122*20+100,0)</f>
        <v>0</v>
      </c>
      <c r="J122" s="49"/>
      <c r="K122" s="49" t="n">
        <f aca="false">IF(J122,J122*20+100,0)</f>
        <v>0</v>
      </c>
      <c r="L122" s="49"/>
      <c r="M122" s="49" t="n">
        <f aca="false">IF(L122,L122*20+100,0)</f>
        <v>0</v>
      </c>
      <c r="N122" s="49"/>
      <c r="O122" s="49" t="n">
        <f aca="false">IF(N122,N122*20+100,0)</f>
        <v>0</v>
      </c>
      <c r="P122" s="49"/>
      <c r="Q122" s="50" t="n">
        <f aca="false">IF(P122,P122*20+100,0)</f>
        <v>0</v>
      </c>
      <c r="R122" s="49"/>
      <c r="S122" s="51" t="n">
        <f aca="false">IF(R122,R122*20+100,0)</f>
        <v>0</v>
      </c>
    </row>
    <row r="123" customFormat="false" ht="15" hidden="false" customHeight="false" outlineLevel="0" collapsed="false">
      <c r="A123" s="55" t="n">
        <v>30</v>
      </c>
      <c r="B123" s="49"/>
      <c r="C123" s="49" t="n">
        <f aca="false">IF(B123,B123*20+100,0)</f>
        <v>0</v>
      </c>
      <c r="D123" s="49"/>
      <c r="E123" s="49" t="n">
        <f aca="false">IF(D123,D123*20+100,0)</f>
        <v>0</v>
      </c>
      <c r="F123" s="49"/>
      <c r="G123" s="49" t="n">
        <f aca="false">IF(F123,F123*20+100,0)</f>
        <v>0</v>
      </c>
      <c r="H123" s="49"/>
      <c r="I123" s="49" t="n">
        <f aca="false">IF(H123,H123*20+100,0)</f>
        <v>0</v>
      </c>
      <c r="J123" s="49"/>
      <c r="K123" s="49" t="n">
        <f aca="false">IF(J123,J123*20+100,0)</f>
        <v>0</v>
      </c>
      <c r="L123" s="49"/>
      <c r="M123" s="49" t="n">
        <f aca="false">IF(L123,L123*20+100,0)</f>
        <v>0</v>
      </c>
      <c r="N123" s="49"/>
      <c r="O123" s="49" t="n">
        <f aca="false">IF(N123,N123*20+100,0)</f>
        <v>0</v>
      </c>
      <c r="P123" s="49"/>
      <c r="Q123" s="50" t="n">
        <f aca="false">IF(P123,P123*20+100,0)</f>
        <v>0</v>
      </c>
      <c r="R123" s="49"/>
      <c r="S123" s="51" t="n">
        <f aca="false">IF(R123,R123*20+100,0)</f>
        <v>0</v>
      </c>
    </row>
    <row r="124" customFormat="false" ht="34.5" hidden="false" customHeight="true" outlineLevel="0" collapsed="false">
      <c r="A124" s="56"/>
      <c r="B124" s="57" t="s">
        <v>53</v>
      </c>
      <c r="C124" s="58" t="n">
        <f aca="false">SUM(C94:C123)</f>
        <v>0</v>
      </c>
      <c r="D124" s="59" t="s">
        <v>53</v>
      </c>
      <c r="E124" s="58" t="n">
        <f aca="false">SUM(E94:E123)</f>
        <v>1220</v>
      </c>
      <c r="F124" s="59" t="s">
        <v>53</v>
      </c>
      <c r="G124" s="58" t="n">
        <f aca="false">SUM(G94:G123)</f>
        <v>1240</v>
      </c>
      <c r="H124" s="59" t="s">
        <v>53</v>
      </c>
      <c r="I124" s="58" t="n">
        <f aca="false">SUM(I94:I123)</f>
        <v>0</v>
      </c>
      <c r="J124" s="59" t="s">
        <v>53</v>
      </c>
      <c r="K124" s="58" t="n">
        <f aca="false">SUM(K94:K123)</f>
        <v>0</v>
      </c>
      <c r="L124" s="59" t="s">
        <v>53</v>
      </c>
      <c r="M124" s="58" t="n">
        <f aca="false">SUM(M94:M123)</f>
        <v>2240</v>
      </c>
      <c r="N124" s="59" t="s">
        <v>53</v>
      </c>
      <c r="O124" s="58" t="n">
        <f aca="false">SUM(O94:O123)</f>
        <v>540</v>
      </c>
      <c r="P124" s="59" t="s">
        <v>53</v>
      </c>
      <c r="Q124" s="58" t="n">
        <f aca="false">SUM(Q94:Q123)</f>
        <v>1300</v>
      </c>
      <c r="R124" s="57" t="s">
        <v>53</v>
      </c>
      <c r="S124" s="51" t="n">
        <f aca="false">SUM(S94:S123)</f>
        <v>0</v>
      </c>
    </row>
    <row r="125" customFormat="false" ht="40.5" hidden="false" customHeight="true" outlineLevel="0" collapsed="false">
      <c r="A125" s="56"/>
      <c r="B125" s="59" t="s">
        <v>54</v>
      </c>
      <c r="C125" s="58" t="n">
        <f aca="false">IF(C124=0,9,RANK(C124,$C$124:$S$124,0))</f>
        <v>9</v>
      </c>
      <c r="D125" s="59" t="s">
        <v>54</v>
      </c>
      <c r="E125" s="58" t="n">
        <f aca="false">IF(E124=0,9,RANK(E124,$C$124:$S$124,0))</f>
        <v>4</v>
      </c>
      <c r="F125" s="59" t="s">
        <v>54</v>
      </c>
      <c r="G125" s="58" t="n">
        <f aca="false">IF(G124=0,9,RANK(G124,$C$124:$S$124,0))</f>
        <v>3</v>
      </c>
      <c r="H125" s="59" t="s">
        <v>54</v>
      </c>
      <c r="I125" s="58" t="n">
        <f aca="false">IF(I124=0,9,RANK(I124,$C$124:$S$124,0))</f>
        <v>9</v>
      </c>
      <c r="J125" s="59" t="s">
        <v>54</v>
      </c>
      <c r="K125" s="58" t="n">
        <f aca="false">IF(K124=0,9,RANK(K124,$C$124:$S$124,0))</f>
        <v>9</v>
      </c>
      <c r="L125" s="59" t="s">
        <v>54</v>
      </c>
      <c r="M125" s="58" t="n">
        <f aca="false">IF(M124=0,9,RANK(M124,$C$124:$S$124,0))</f>
        <v>1</v>
      </c>
      <c r="N125" s="59" t="s">
        <v>54</v>
      </c>
      <c r="O125" s="58" t="n">
        <f aca="false">IF(O124=0,9,RANK(O124,$C$124:$S$124,0))</f>
        <v>5</v>
      </c>
      <c r="P125" s="59" t="s">
        <v>54</v>
      </c>
      <c r="Q125" s="58" t="n">
        <f aca="false">IF(Q124=0,9,RANK(Q124,$C$124:$S$124,0))</f>
        <v>2</v>
      </c>
      <c r="R125" s="57" t="s">
        <v>54</v>
      </c>
      <c r="S125" s="51" t="n">
        <f aca="false">IF(S124=0,9,RANK(S124,$C$124:$S$124,0))</f>
        <v>9</v>
      </c>
    </row>
    <row r="126" customFormat="false" ht="15" hidden="false" customHeight="true" outlineLevel="0" collapsed="false">
      <c r="A126" s="60"/>
      <c r="B126" s="57" t="s">
        <v>55</v>
      </c>
      <c r="C126" s="49" t="n">
        <f aca="false">COUNT(B94:B123)</f>
        <v>0</v>
      </c>
      <c r="D126" s="57" t="s">
        <v>55</v>
      </c>
      <c r="E126" s="49" t="n">
        <f aca="false">COUNT(D94:D123)</f>
        <v>2</v>
      </c>
      <c r="F126" s="57" t="s">
        <v>55</v>
      </c>
      <c r="G126" s="49" t="n">
        <f aca="false">COUNT(F94:F123)</f>
        <v>2</v>
      </c>
      <c r="H126" s="57" t="s">
        <v>55</v>
      </c>
      <c r="I126" s="49" t="n">
        <f aca="false">COUNT(H94:H123)</f>
        <v>0</v>
      </c>
      <c r="J126" s="57" t="s">
        <v>55</v>
      </c>
      <c r="K126" s="49" t="n">
        <f aca="false">COUNT(J94:J123)</f>
        <v>0</v>
      </c>
      <c r="L126" s="57" t="s">
        <v>55</v>
      </c>
      <c r="M126" s="49" t="n">
        <f aca="false">COUNT(L94:L123)</f>
        <v>3</v>
      </c>
      <c r="N126" s="57" t="s">
        <v>55</v>
      </c>
      <c r="O126" s="49" t="n">
        <f aca="false">COUNT(N94:N123)</f>
        <v>1</v>
      </c>
      <c r="P126" s="57" t="s">
        <v>55</v>
      </c>
      <c r="Q126" s="50" t="n">
        <f aca="false">COUNT(P94:P123)</f>
        <v>2</v>
      </c>
      <c r="R126" s="57" t="s">
        <v>55</v>
      </c>
      <c r="S126" s="51" t="n">
        <f aca="false">COUNT(R94:R123)</f>
        <v>0</v>
      </c>
    </row>
    <row r="127" customFormat="false" ht="15" hidden="false" customHeight="false" outlineLevel="0" collapsed="false">
      <c r="A127" s="60"/>
      <c r="B127" s="57"/>
      <c r="C127" s="49"/>
      <c r="D127" s="57"/>
      <c r="E127" s="49"/>
      <c r="F127" s="57"/>
      <c r="G127" s="49"/>
      <c r="H127" s="57"/>
      <c r="I127" s="49"/>
      <c r="J127" s="57"/>
      <c r="K127" s="49"/>
      <c r="L127" s="57"/>
      <c r="M127" s="49"/>
      <c r="N127" s="57"/>
      <c r="O127" s="49"/>
      <c r="P127" s="57"/>
      <c r="Q127" s="50"/>
      <c r="R127" s="57"/>
      <c r="S127" s="51"/>
    </row>
    <row r="128" customFormat="false" ht="15" hidden="false" customHeight="false" outlineLevel="0" collapsed="false">
      <c r="A128" s="60"/>
      <c r="B128" s="57"/>
      <c r="C128" s="49"/>
      <c r="D128" s="57"/>
      <c r="E128" s="49"/>
      <c r="F128" s="57"/>
      <c r="G128" s="49"/>
      <c r="H128" s="57"/>
      <c r="I128" s="49"/>
      <c r="J128" s="57"/>
      <c r="K128" s="49"/>
      <c r="L128" s="57"/>
      <c r="M128" s="49"/>
      <c r="N128" s="57"/>
      <c r="O128" s="49"/>
      <c r="P128" s="57"/>
      <c r="Q128" s="50"/>
      <c r="R128" s="57"/>
      <c r="S128" s="51"/>
    </row>
    <row r="129" customFormat="false" ht="44.25" hidden="false" customHeight="true" outlineLevel="0" collapsed="false">
      <c r="A129" s="61"/>
      <c r="B129" s="62" t="s">
        <v>56</v>
      </c>
      <c r="C129" s="62" t="n">
        <f aca="false">MAX(B94:B123)</f>
        <v>0</v>
      </c>
      <c r="D129" s="62" t="s">
        <v>56</v>
      </c>
      <c r="E129" s="62" t="n">
        <f aca="false">MAX(D94:D123)</f>
        <v>27</v>
      </c>
      <c r="F129" s="62" t="s">
        <v>56</v>
      </c>
      <c r="G129" s="62" t="n">
        <f aca="false">MAX(F94:F123)</f>
        <v>30</v>
      </c>
      <c r="H129" s="62" t="s">
        <v>56</v>
      </c>
      <c r="I129" s="62" t="n">
        <f aca="false">MAX(H94:H123)</f>
        <v>0</v>
      </c>
      <c r="J129" s="62" t="s">
        <v>56</v>
      </c>
      <c r="K129" s="62" t="n">
        <f aca="false">MAX(J94:J123)</f>
        <v>0</v>
      </c>
      <c r="L129" s="62" t="s">
        <v>56</v>
      </c>
      <c r="M129" s="62" t="n">
        <f aca="false">MAX(L94:L123)</f>
        <v>37</v>
      </c>
      <c r="N129" s="62" t="s">
        <v>56</v>
      </c>
      <c r="O129" s="62" t="n">
        <f aca="false">MAX(N94:N123)</f>
        <v>22</v>
      </c>
      <c r="P129" s="62" t="s">
        <v>56</v>
      </c>
      <c r="Q129" s="67" t="n">
        <f aca="false">MAX(P94:P123)</f>
        <v>28</v>
      </c>
      <c r="R129" s="62" t="s">
        <v>56</v>
      </c>
      <c r="S129" s="68" t="n">
        <f aca="false">MAX(R94:R123)</f>
        <v>0</v>
      </c>
    </row>
  </sheetData>
  <mergeCells count="117">
    <mergeCell ref="A1:S2"/>
    <mergeCell ref="A3:A5"/>
    <mergeCell ref="B3:C3"/>
    <mergeCell ref="D3:E3"/>
    <mergeCell ref="F3:G3"/>
    <mergeCell ref="H3:I3"/>
    <mergeCell ref="J3:K3"/>
    <mergeCell ref="L3:M3"/>
    <mergeCell ref="N3:O3"/>
    <mergeCell ref="P3:Q3"/>
    <mergeCell ref="R3:S3"/>
    <mergeCell ref="B4:C4"/>
    <mergeCell ref="D4:E4"/>
    <mergeCell ref="F4:G4"/>
    <mergeCell ref="H4:I4"/>
    <mergeCell ref="J4:K4"/>
    <mergeCell ref="L4:M4"/>
    <mergeCell ref="N4:O4"/>
    <mergeCell ref="P4:Q4"/>
    <mergeCell ref="R4:S4"/>
    <mergeCell ref="A36:A37"/>
    <mergeCell ref="B38:B40"/>
    <mergeCell ref="C38:C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A46:S47"/>
    <mergeCell ref="A48:A50"/>
    <mergeCell ref="B48:C48"/>
    <mergeCell ref="D48:E48"/>
    <mergeCell ref="F48:G48"/>
    <mergeCell ref="H48:I48"/>
    <mergeCell ref="J48:K48"/>
    <mergeCell ref="L48:M48"/>
    <mergeCell ref="N48:O48"/>
    <mergeCell ref="P48:Q48"/>
    <mergeCell ref="R48:S48"/>
    <mergeCell ref="B49:C49"/>
    <mergeCell ref="D49:E49"/>
    <mergeCell ref="F49:G49"/>
    <mergeCell ref="H49:I49"/>
    <mergeCell ref="J49:K49"/>
    <mergeCell ref="L49:M49"/>
    <mergeCell ref="N49:O49"/>
    <mergeCell ref="P49:Q49"/>
    <mergeCell ref="R49:S49"/>
    <mergeCell ref="A81:A82"/>
    <mergeCell ref="B83:B85"/>
    <mergeCell ref="C83:C85"/>
    <mergeCell ref="D83:D85"/>
    <mergeCell ref="E83:E85"/>
    <mergeCell ref="F83:F85"/>
    <mergeCell ref="G83:G85"/>
    <mergeCell ref="H83:H85"/>
    <mergeCell ref="I83:I85"/>
    <mergeCell ref="J83:J85"/>
    <mergeCell ref="K83:K85"/>
    <mergeCell ref="L83:L85"/>
    <mergeCell ref="M83:M85"/>
    <mergeCell ref="N83:N85"/>
    <mergeCell ref="O83:O85"/>
    <mergeCell ref="P83:P85"/>
    <mergeCell ref="Q83:Q85"/>
    <mergeCell ref="R83:R85"/>
    <mergeCell ref="S83:S85"/>
    <mergeCell ref="A89:S90"/>
    <mergeCell ref="A91:A93"/>
    <mergeCell ref="B91:C91"/>
    <mergeCell ref="D91:E91"/>
    <mergeCell ref="F91:G91"/>
    <mergeCell ref="H91:I91"/>
    <mergeCell ref="J91:K91"/>
    <mergeCell ref="L91:M91"/>
    <mergeCell ref="N91:O91"/>
    <mergeCell ref="P91:Q91"/>
    <mergeCell ref="R91:S91"/>
    <mergeCell ref="B92:C92"/>
    <mergeCell ref="D92:E92"/>
    <mergeCell ref="F92:G92"/>
    <mergeCell ref="H92:I92"/>
    <mergeCell ref="J92:K92"/>
    <mergeCell ref="L92:M92"/>
    <mergeCell ref="N92:O92"/>
    <mergeCell ref="P92:Q92"/>
    <mergeCell ref="R92:S92"/>
    <mergeCell ref="A124:A125"/>
    <mergeCell ref="B126:B128"/>
    <mergeCell ref="C126:C128"/>
    <mergeCell ref="D126:D128"/>
    <mergeCell ref="E126:E128"/>
    <mergeCell ref="F126:F128"/>
    <mergeCell ref="G126:G128"/>
    <mergeCell ref="H126:H128"/>
    <mergeCell ref="I126:I128"/>
    <mergeCell ref="J126:J128"/>
    <mergeCell ref="K126:K128"/>
    <mergeCell ref="L126:L128"/>
    <mergeCell ref="M126:M128"/>
    <mergeCell ref="N126:N128"/>
    <mergeCell ref="O126:O128"/>
    <mergeCell ref="P126:P128"/>
    <mergeCell ref="Q126:Q128"/>
    <mergeCell ref="R126:R128"/>
    <mergeCell ref="S126:S1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0"/>
  <sheetViews>
    <sheetView showFormulas="false" showGridLines="true" showRowColHeaders="true" showZeros="true" rightToLeft="false" tabSelected="false" showOutlineSymbols="true" defaultGridColor="true" view="normal" topLeftCell="A87" colorId="64" zoomScale="80" zoomScaleNormal="80" zoomScalePageLayoutView="100" workbookViewId="0">
      <selection pane="topLeft" activeCell="L95" activeCellId="0" sqref="L95"/>
    </sheetView>
  </sheetViews>
  <sheetFormatPr defaultColWidth="8.54296875" defaultRowHeight="15" customHeight="false" zeroHeight="false" outlineLevelRow="0" outlineLevelCol="0"/>
  <cols>
    <col collapsed="false" customWidth="true" hidden="false" outlineLevel="0" max="19" min="1" style="0" width="11.71"/>
  </cols>
  <sheetData>
    <row r="1" customFormat="false" ht="15" hidden="false" customHeight="true" outlineLevel="0" collapsed="false">
      <c r="A1" s="14" t="s">
        <v>59</v>
      </c>
      <c r="B1" s="14"/>
      <c r="C1" s="14"/>
      <c r="D1" s="14"/>
      <c r="E1" s="14"/>
      <c r="F1" s="14"/>
      <c r="G1" s="14"/>
      <c r="H1" s="14"/>
      <c r="I1" s="14"/>
      <c r="J1" s="14"/>
      <c r="K1" s="14"/>
      <c r="L1" s="14"/>
      <c r="M1" s="14"/>
      <c r="N1" s="14"/>
      <c r="O1" s="14"/>
      <c r="P1" s="14"/>
      <c r="Q1" s="14"/>
      <c r="R1" s="14"/>
      <c r="S1" s="14"/>
    </row>
    <row r="2" customFormat="false" ht="15" hidden="false" customHeight="true" outlineLevel="0" collapsed="false">
      <c r="A2" s="14"/>
      <c r="B2" s="14"/>
      <c r="C2" s="14"/>
      <c r="D2" s="14"/>
      <c r="E2" s="14"/>
      <c r="F2" s="14"/>
      <c r="G2" s="14"/>
      <c r="H2" s="14"/>
      <c r="I2" s="14"/>
      <c r="J2" s="14"/>
      <c r="K2" s="14"/>
      <c r="L2" s="14"/>
      <c r="M2" s="14"/>
      <c r="N2" s="14"/>
      <c r="O2" s="14"/>
      <c r="P2" s="14"/>
      <c r="Q2" s="14"/>
      <c r="R2" s="14"/>
      <c r="S2" s="14"/>
    </row>
    <row r="3" customFormat="false" ht="15" hidden="false" customHeight="true" outlineLevel="0" collapsed="false">
      <c r="A3" s="48" t="s">
        <v>49</v>
      </c>
      <c r="B3" s="49" t="s">
        <v>50</v>
      </c>
      <c r="C3" s="49"/>
      <c r="D3" s="49" t="s">
        <v>50</v>
      </c>
      <c r="E3" s="49"/>
      <c r="F3" s="49" t="s">
        <v>50</v>
      </c>
      <c r="G3" s="49"/>
      <c r="H3" s="49" t="s">
        <v>50</v>
      </c>
      <c r="I3" s="49"/>
      <c r="J3" s="49" t="s">
        <v>50</v>
      </c>
      <c r="K3" s="49"/>
      <c r="L3" s="49" t="s">
        <v>50</v>
      </c>
      <c r="M3" s="49"/>
      <c r="N3" s="49" t="s">
        <v>50</v>
      </c>
      <c r="O3" s="49"/>
      <c r="P3" s="50" t="s">
        <v>50</v>
      </c>
      <c r="Q3" s="50"/>
      <c r="R3" s="51" t="s">
        <v>50</v>
      </c>
      <c r="S3" s="51"/>
    </row>
    <row r="4" customFormat="false" ht="17.35" hidden="false" customHeight="false" outlineLevel="0" collapsed="false">
      <c r="A4" s="48"/>
      <c r="B4" s="52" t="str">
        <f aca="false">TABELA!H10</f>
        <v>VLATKO PEKOVIĆ</v>
      </c>
      <c r="C4" s="52"/>
      <c r="D4" s="52" t="str">
        <f aca="false">TABELA!H11</f>
        <v>IVICA RAJKOVIĆ</v>
      </c>
      <c r="E4" s="52"/>
      <c r="F4" s="52" t="str">
        <f aca="false">TABELA!H12</f>
        <v>PETAR OBRADOVIĆ</v>
      </c>
      <c r="G4" s="52"/>
      <c r="H4" s="52" t="str">
        <f aca="false">TABELA!H13</f>
        <v>BOJAN GOVEDARICA</v>
      </c>
      <c r="I4" s="52"/>
      <c r="J4" s="52" t="str">
        <f aca="false">TABELA!H14</f>
        <v>BOGDAN MARKOVIĆ</v>
      </c>
      <c r="K4" s="52"/>
      <c r="L4" s="52" t="str">
        <f aca="false">TABELA!H15</f>
        <v>BALŠA FUŠTIĆ</v>
      </c>
      <c r="M4" s="52"/>
      <c r="N4" s="52" t="str">
        <f aca="false">TABELA!H16</f>
        <v>RADULE MIĆOVIĆ</v>
      </c>
      <c r="O4" s="52"/>
      <c r="P4" s="53" t="str">
        <f aca="false">TABELA!H17</f>
        <v>MEHMED DŽIDIĆ</v>
      </c>
      <c r="Q4" s="53"/>
      <c r="R4" s="54" t="str">
        <f aca="false">TABELA!H18</f>
        <v>ORHAN BAŠIĆ</v>
      </c>
      <c r="S4" s="54"/>
    </row>
    <row r="5" customFormat="false" ht="15" hidden="false" customHeight="false" outlineLevel="0" collapsed="false">
      <c r="A5" s="48"/>
      <c r="B5" s="49" t="s">
        <v>51</v>
      </c>
      <c r="C5" s="49" t="s">
        <v>52</v>
      </c>
      <c r="D5" s="49" t="s">
        <v>51</v>
      </c>
      <c r="E5" s="49" t="s">
        <v>52</v>
      </c>
      <c r="F5" s="49" t="s">
        <v>51</v>
      </c>
      <c r="G5" s="49" t="s">
        <v>52</v>
      </c>
      <c r="H5" s="49" t="s">
        <v>51</v>
      </c>
      <c r="I5" s="49" t="s">
        <v>52</v>
      </c>
      <c r="J5" s="49" t="s">
        <v>51</v>
      </c>
      <c r="K5" s="49" t="s">
        <v>52</v>
      </c>
      <c r="L5" s="49" t="s">
        <v>51</v>
      </c>
      <c r="M5" s="49" t="s">
        <v>52</v>
      </c>
      <c r="N5" s="49" t="s">
        <v>51</v>
      </c>
      <c r="O5" s="49" t="s">
        <v>52</v>
      </c>
      <c r="P5" s="49" t="s">
        <v>51</v>
      </c>
      <c r="Q5" s="50" t="s">
        <v>52</v>
      </c>
      <c r="R5" s="49" t="s">
        <v>51</v>
      </c>
      <c r="S5" s="51" t="s">
        <v>52</v>
      </c>
    </row>
    <row r="6" customFormat="false" ht="15" hidden="false" customHeight="false" outlineLevel="0" collapsed="false">
      <c r="A6" s="55" t="n">
        <v>1</v>
      </c>
      <c r="B6" s="49" t="n">
        <v>27</v>
      </c>
      <c r="C6" s="49" t="n">
        <f aca="false">IF(B6,B6*20+100,0)</f>
        <v>640</v>
      </c>
      <c r="D6" s="49" t="n">
        <v>21</v>
      </c>
      <c r="E6" s="49" t="n">
        <f aca="false">IF(D6,D6*20+100,0)</f>
        <v>520</v>
      </c>
      <c r="F6" s="49" t="n">
        <v>29</v>
      </c>
      <c r="G6" s="49" t="n">
        <f aca="false">IF(F6,F6*20+100,0)</f>
        <v>680</v>
      </c>
      <c r="H6" s="49" t="n">
        <v>26</v>
      </c>
      <c r="I6" s="49" t="n">
        <f aca="false">IF(H6,H6*20+100,0)</f>
        <v>620</v>
      </c>
      <c r="J6" s="49" t="n">
        <v>28</v>
      </c>
      <c r="K6" s="49" t="n">
        <f aca="false">IF(J6,J6*20+100,0)</f>
        <v>660</v>
      </c>
      <c r="L6" s="49" t="n">
        <v>27</v>
      </c>
      <c r="M6" s="49" t="n">
        <f aca="false">IF(L6,L6*20+100,0)</f>
        <v>640</v>
      </c>
      <c r="N6" s="49" t="n">
        <v>29</v>
      </c>
      <c r="O6" s="49" t="n">
        <f aca="false">IF(N6,N6*20+100,0)</f>
        <v>680</v>
      </c>
      <c r="P6" s="49" t="n">
        <v>28</v>
      </c>
      <c r="Q6" s="50" t="n">
        <f aca="false">IF(P6,P6*20+100,0)</f>
        <v>660</v>
      </c>
      <c r="R6" s="49" t="n">
        <v>28</v>
      </c>
      <c r="S6" s="51" t="n">
        <f aca="false">IF(R6,R6*20+100,0)</f>
        <v>660</v>
      </c>
    </row>
    <row r="7" customFormat="false" ht="15" hidden="false" customHeight="false" outlineLevel="0" collapsed="false">
      <c r="A7" s="55" t="n">
        <v>2</v>
      </c>
      <c r="B7" s="49" t="n">
        <v>29</v>
      </c>
      <c r="C7" s="49" t="n">
        <f aca="false">IF(B7,B7*20+100,0)</f>
        <v>680</v>
      </c>
      <c r="D7" s="49" t="n">
        <v>27</v>
      </c>
      <c r="E7" s="49" t="n">
        <f aca="false">IF(D7,D7*20+100,0)</f>
        <v>640</v>
      </c>
      <c r="F7" s="49"/>
      <c r="G7" s="49" t="n">
        <f aca="false">IF(F7,F7*20+100,0)</f>
        <v>0</v>
      </c>
      <c r="H7" s="49"/>
      <c r="I7" s="49" t="n">
        <f aca="false">IF(H7,H7*20+100,0)</f>
        <v>0</v>
      </c>
      <c r="J7" s="49" t="n">
        <v>26</v>
      </c>
      <c r="K7" s="49" t="n">
        <f aca="false">IF(J7,J7*20+100,0)</f>
        <v>620</v>
      </c>
      <c r="L7" s="49" t="n">
        <v>28</v>
      </c>
      <c r="M7" s="49" t="n">
        <f aca="false">IF(L7,L7*20+100,0)</f>
        <v>660</v>
      </c>
      <c r="N7" s="49"/>
      <c r="O7" s="49" t="n">
        <f aca="false">IF(N7,N7*20+100,0)</f>
        <v>0</v>
      </c>
      <c r="P7" s="49" t="n">
        <v>26</v>
      </c>
      <c r="Q7" s="50" t="n">
        <f aca="false">IF(P7,P7*20+100,0)</f>
        <v>620</v>
      </c>
      <c r="R7" s="49" t="n">
        <v>28</v>
      </c>
      <c r="S7" s="51" t="n">
        <f aca="false">IF(R7,R7*20+100,0)</f>
        <v>660</v>
      </c>
    </row>
    <row r="8" customFormat="false" ht="15" hidden="false" customHeight="false" outlineLevel="0" collapsed="false">
      <c r="A8" s="55" t="n">
        <v>3</v>
      </c>
      <c r="B8" s="49" t="n">
        <v>27</v>
      </c>
      <c r="C8" s="49" t="n">
        <f aca="false">IF(B8,B8*20+100,0)</f>
        <v>640</v>
      </c>
      <c r="D8" s="49" t="n">
        <v>26</v>
      </c>
      <c r="E8" s="49" t="n">
        <f aca="false">IF(D8,D8*20+100,0)</f>
        <v>620</v>
      </c>
      <c r="F8" s="49"/>
      <c r="G8" s="49" t="n">
        <f aca="false">IF(F8,F8*20+100,0)</f>
        <v>0</v>
      </c>
      <c r="H8" s="49"/>
      <c r="I8" s="49" t="n">
        <f aca="false">IF(H8,H8*20+100,0)</f>
        <v>0</v>
      </c>
      <c r="J8" s="49" t="n">
        <v>27</v>
      </c>
      <c r="K8" s="49" t="n">
        <f aca="false">IF(J8,J8*20+100,0)</f>
        <v>640</v>
      </c>
      <c r="L8" s="49" t="n">
        <v>35</v>
      </c>
      <c r="M8" s="49" t="n">
        <f aca="false">IF(L8,L8*20+100,0)</f>
        <v>800</v>
      </c>
      <c r="N8" s="49"/>
      <c r="O8" s="49" t="n">
        <f aca="false">IF(N8,N8*20+100,0)</f>
        <v>0</v>
      </c>
      <c r="P8" s="49" t="n">
        <v>27</v>
      </c>
      <c r="Q8" s="50" t="n">
        <f aca="false">IF(P8,P8*20+100,0)</f>
        <v>640</v>
      </c>
      <c r="R8" s="49"/>
      <c r="S8" s="51" t="n">
        <f aca="false">IF(R8,R8*20+100,0)</f>
        <v>0</v>
      </c>
    </row>
    <row r="9" customFormat="false" ht="15" hidden="false" customHeight="false" outlineLevel="0" collapsed="false">
      <c r="A9" s="55" t="n">
        <v>4</v>
      </c>
      <c r="B9" s="49" t="n">
        <v>33</v>
      </c>
      <c r="C9" s="49" t="n">
        <f aca="false">IF(B9,B9*20+100,0)</f>
        <v>760</v>
      </c>
      <c r="D9" s="49" t="n">
        <v>32</v>
      </c>
      <c r="E9" s="49" t="n">
        <f aca="false">IF(D9,D9*20+100,0)</f>
        <v>740</v>
      </c>
      <c r="F9" s="49"/>
      <c r="G9" s="49" t="n">
        <f aca="false">IF(F9,F9*20+100,0)</f>
        <v>0</v>
      </c>
      <c r="H9" s="49"/>
      <c r="I9" s="49" t="n">
        <f aca="false">IF(H9,H9*20+100,0)</f>
        <v>0</v>
      </c>
      <c r="J9" s="49"/>
      <c r="K9" s="49" t="n">
        <f aca="false">IF(J9,J9*20+100,0)</f>
        <v>0</v>
      </c>
      <c r="L9" s="49" t="n">
        <v>27</v>
      </c>
      <c r="M9" s="49" t="n">
        <f aca="false">IF(L9,L9*20+100,0)</f>
        <v>640</v>
      </c>
      <c r="N9" s="49"/>
      <c r="O9" s="49" t="n">
        <f aca="false">IF(N9,N9*20+100,0)</f>
        <v>0</v>
      </c>
      <c r="P9" s="49"/>
      <c r="Q9" s="50" t="n">
        <f aca="false">IF(P9,P9*20+100,0)</f>
        <v>0</v>
      </c>
      <c r="R9" s="49"/>
      <c r="S9" s="51" t="n">
        <f aca="false">IF(R9,R9*20+100,0)</f>
        <v>0</v>
      </c>
    </row>
    <row r="10" customFormat="false" ht="15" hidden="false" customHeight="false" outlineLevel="0" collapsed="false">
      <c r="A10" s="55" t="n">
        <v>5</v>
      </c>
      <c r="B10" s="49" t="n">
        <v>33</v>
      </c>
      <c r="C10" s="49" t="n">
        <f aca="false">IF(B10,B10*20+100,0)</f>
        <v>760</v>
      </c>
      <c r="D10" s="49" t="n">
        <v>26</v>
      </c>
      <c r="E10" s="49" t="n">
        <f aca="false">IF(D10,D10*20+100,0)</f>
        <v>620</v>
      </c>
      <c r="F10" s="49"/>
      <c r="G10" s="49" t="n">
        <f aca="false">IF(F10,F10*20+100,0)</f>
        <v>0</v>
      </c>
      <c r="H10" s="49"/>
      <c r="I10" s="49" t="n">
        <f aca="false">IF(H10,H10*20+100,0)</f>
        <v>0</v>
      </c>
      <c r="J10" s="49"/>
      <c r="K10" s="49" t="n">
        <f aca="false">IF(J10,J10*20+100,0)</f>
        <v>0</v>
      </c>
      <c r="L10" s="49"/>
      <c r="M10" s="49" t="n">
        <f aca="false">IF(L10,L10*20+100,0)</f>
        <v>0</v>
      </c>
      <c r="N10" s="49"/>
      <c r="O10" s="49" t="n">
        <f aca="false">IF(N10,N10*20+100,0)</f>
        <v>0</v>
      </c>
      <c r="P10" s="49"/>
      <c r="Q10" s="50" t="n">
        <f aca="false">IF(P10,P10*20+100,0)</f>
        <v>0</v>
      </c>
      <c r="R10" s="49"/>
      <c r="S10" s="51" t="n">
        <f aca="false">IF(R10,R10*20+100,0)</f>
        <v>0</v>
      </c>
    </row>
    <row r="11" customFormat="false" ht="15" hidden="false" customHeight="false" outlineLevel="0" collapsed="false">
      <c r="A11" s="55" t="n">
        <v>6</v>
      </c>
      <c r="B11" s="49" t="n">
        <v>27</v>
      </c>
      <c r="C11" s="49" t="n">
        <f aca="false">IF(B11,B11*20+100,0)</f>
        <v>640</v>
      </c>
      <c r="D11" s="49" t="n">
        <v>30</v>
      </c>
      <c r="E11" s="49" t="n">
        <f aca="false">IF(D11,D11*20+100,0)</f>
        <v>700</v>
      </c>
      <c r="F11" s="49"/>
      <c r="G11" s="49" t="n">
        <f aca="false">IF(F11,F11*20+100,0)</f>
        <v>0</v>
      </c>
      <c r="H11" s="49"/>
      <c r="I11" s="49" t="n">
        <f aca="false">IF(H11,H11*20+100,0)</f>
        <v>0</v>
      </c>
      <c r="J11" s="49"/>
      <c r="K11" s="49" t="n">
        <f aca="false">IF(J11,J11*20+100,0)</f>
        <v>0</v>
      </c>
      <c r="L11" s="49"/>
      <c r="M11" s="49" t="n">
        <f aca="false">IF(L11,L11*20+100,0)</f>
        <v>0</v>
      </c>
      <c r="N11" s="49"/>
      <c r="O11" s="49" t="n">
        <f aca="false">IF(N11,N11*20+100,0)</f>
        <v>0</v>
      </c>
      <c r="P11" s="49"/>
      <c r="Q11" s="50" t="n">
        <f aca="false">IF(P11,P11*20+100,0)</f>
        <v>0</v>
      </c>
      <c r="R11" s="49"/>
      <c r="S11" s="51" t="n">
        <f aca="false">IF(R11,R11*20+100,0)</f>
        <v>0</v>
      </c>
    </row>
    <row r="12" customFormat="false" ht="15" hidden="false" customHeight="false" outlineLevel="0" collapsed="false">
      <c r="A12" s="55" t="n">
        <v>7</v>
      </c>
      <c r="B12" s="49"/>
      <c r="C12" s="49" t="n">
        <f aca="false">IF(B12,B12*20+100,0)</f>
        <v>0</v>
      </c>
      <c r="D12" s="49"/>
      <c r="E12" s="49" t="n">
        <f aca="false">IF(D12,D12*20+100,0)</f>
        <v>0</v>
      </c>
      <c r="F12" s="49"/>
      <c r="G12" s="49" t="n">
        <f aca="false">IF(F12,F12*20+100,0)</f>
        <v>0</v>
      </c>
      <c r="H12" s="49"/>
      <c r="I12" s="49" t="n">
        <f aca="false">IF(H12,H12*20+100,0)</f>
        <v>0</v>
      </c>
      <c r="J12" s="49"/>
      <c r="K12" s="49" t="n">
        <f aca="false">IF(J12,J12*20+100,0)</f>
        <v>0</v>
      </c>
      <c r="L12" s="49"/>
      <c r="M12" s="49" t="n">
        <f aca="false">IF(L12,L12*20+100,0)</f>
        <v>0</v>
      </c>
      <c r="N12" s="49"/>
      <c r="O12" s="49" t="n">
        <f aca="false">IF(N12,N12*20+100,0)</f>
        <v>0</v>
      </c>
      <c r="P12" s="49"/>
      <c r="Q12" s="50" t="n">
        <f aca="false">IF(P12,P12*20+100,0)</f>
        <v>0</v>
      </c>
      <c r="R12" s="49"/>
      <c r="S12" s="51" t="n">
        <f aca="false">IF(R12,R12*20+100,0)</f>
        <v>0</v>
      </c>
    </row>
    <row r="13" customFormat="false" ht="15" hidden="false" customHeight="false" outlineLevel="0" collapsed="false">
      <c r="A13" s="55" t="n">
        <v>8</v>
      </c>
      <c r="B13" s="49"/>
      <c r="C13" s="49" t="n">
        <f aca="false">IF(B13,B13*20+100,0)</f>
        <v>0</v>
      </c>
      <c r="D13" s="49"/>
      <c r="E13" s="49" t="n">
        <f aca="false">IF(D13,D13*20+100,0)</f>
        <v>0</v>
      </c>
      <c r="F13" s="49"/>
      <c r="G13" s="49" t="n">
        <f aca="false">IF(F13,F13*20+100,0)</f>
        <v>0</v>
      </c>
      <c r="H13" s="49"/>
      <c r="I13" s="49" t="n">
        <f aca="false">IF(H13,H13*20+100,0)</f>
        <v>0</v>
      </c>
      <c r="J13" s="49"/>
      <c r="K13" s="49" t="n">
        <f aca="false">IF(J13,J13*20+100,0)</f>
        <v>0</v>
      </c>
      <c r="L13" s="49"/>
      <c r="M13" s="49" t="n">
        <f aca="false">IF(L13,L13*20+100,0)</f>
        <v>0</v>
      </c>
      <c r="N13" s="49"/>
      <c r="O13" s="49" t="n">
        <f aca="false">IF(N13,N13*20+100,0)</f>
        <v>0</v>
      </c>
      <c r="P13" s="49"/>
      <c r="Q13" s="50" t="n">
        <f aca="false">IF(P13,P13*20+100,0)</f>
        <v>0</v>
      </c>
      <c r="R13" s="49"/>
      <c r="S13" s="51" t="n">
        <f aca="false">IF(R13,R13*20+100,0)</f>
        <v>0</v>
      </c>
    </row>
    <row r="14" customFormat="false" ht="15" hidden="false" customHeight="false" outlineLevel="0" collapsed="false">
      <c r="A14" s="55" t="n">
        <v>9</v>
      </c>
      <c r="B14" s="49"/>
      <c r="C14" s="49" t="n">
        <f aca="false">IF(B14,B14*20+100,0)</f>
        <v>0</v>
      </c>
      <c r="D14" s="49"/>
      <c r="E14" s="49" t="n">
        <f aca="false">IF(D14,D14*20+100,0)</f>
        <v>0</v>
      </c>
      <c r="F14" s="49"/>
      <c r="G14" s="49" t="n">
        <f aca="false">IF(F14,F14*20+100,0)</f>
        <v>0</v>
      </c>
      <c r="H14" s="49"/>
      <c r="I14" s="49" t="n">
        <f aca="false">IF(H14,H14*20+100,0)</f>
        <v>0</v>
      </c>
      <c r="J14" s="49"/>
      <c r="K14" s="49" t="n">
        <f aca="false">IF(J14,J14*20+100,0)</f>
        <v>0</v>
      </c>
      <c r="L14" s="49"/>
      <c r="M14" s="49" t="n">
        <f aca="false">IF(L14,L14*20+100,0)</f>
        <v>0</v>
      </c>
      <c r="N14" s="49"/>
      <c r="O14" s="49" t="n">
        <f aca="false">IF(N14,N14*20+100,0)</f>
        <v>0</v>
      </c>
      <c r="P14" s="49"/>
      <c r="Q14" s="50" t="n">
        <f aca="false">IF(P14,P14*20+100,0)</f>
        <v>0</v>
      </c>
      <c r="R14" s="49"/>
      <c r="S14" s="51" t="n">
        <f aca="false">IF(R14,R14*20+100,0)</f>
        <v>0</v>
      </c>
    </row>
    <row r="15" customFormat="false" ht="15" hidden="false" customHeight="false" outlineLevel="0" collapsed="false">
      <c r="A15" s="55" t="n">
        <v>10</v>
      </c>
      <c r="B15" s="49"/>
      <c r="C15" s="49" t="n">
        <f aca="false">IF(B15,B15*20+100,0)</f>
        <v>0</v>
      </c>
      <c r="D15" s="49"/>
      <c r="E15" s="49" t="n">
        <f aca="false">IF(D15,D15*20+100,0)</f>
        <v>0</v>
      </c>
      <c r="F15" s="49"/>
      <c r="G15" s="49" t="n">
        <f aca="false">IF(F15,F15*20+100,0)</f>
        <v>0</v>
      </c>
      <c r="H15" s="49"/>
      <c r="I15" s="49" t="n">
        <f aca="false">IF(H15,H15*20+100,0)</f>
        <v>0</v>
      </c>
      <c r="J15" s="49"/>
      <c r="K15" s="49" t="n">
        <f aca="false">IF(J15,J15*20+100,0)</f>
        <v>0</v>
      </c>
      <c r="L15" s="49"/>
      <c r="M15" s="49" t="n">
        <f aca="false">IF(L15,L15*20+100,0)</f>
        <v>0</v>
      </c>
      <c r="N15" s="49"/>
      <c r="O15" s="49" t="n">
        <f aca="false">IF(N15,N15*20+100,0)</f>
        <v>0</v>
      </c>
      <c r="P15" s="49"/>
      <c r="Q15" s="50" t="n">
        <f aca="false">IF(P15,P15*20+100,0)</f>
        <v>0</v>
      </c>
      <c r="R15" s="49"/>
      <c r="S15" s="51" t="n">
        <f aca="false">IF(R15,R15*20+100,0)</f>
        <v>0</v>
      </c>
    </row>
    <row r="16" customFormat="false" ht="15" hidden="false" customHeight="false" outlineLevel="0" collapsed="false">
      <c r="A16" s="55" t="n">
        <v>11</v>
      </c>
      <c r="B16" s="49"/>
      <c r="C16" s="49" t="n">
        <f aca="false">IF(B16,B16*20+100,0)</f>
        <v>0</v>
      </c>
      <c r="D16" s="49"/>
      <c r="E16" s="49" t="n">
        <f aca="false">IF(D16,D16*20+100,0)</f>
        <v>0</v>
      </c>
      <c r="F16" s="49"/>
      <c r="G16" s="49" t="n">
        <f aca="false">IF(F16,F16*20+100,0)</f>
        <v>0</v>
      </c>
      <c r="H16" s="49"/>
      <c r="I16" s="49" t="n">
        <f aca="false">IF(H16,H16*20+100,0)</f>
        <v>0</v>
      </c>
      <c r="J16" s="49"/>
      <c r="K16" s="49" t="n">
        <f aca="false">IF(J16,J16*20+100,0)</f>
        <v>0</v>
      </c>
      <c r="L16" s="49"/>
      <c r="M16" s="49" t="n">
        <f aca="false">IF(L16,L16*20+100,0)</f>
        <v>0</v>
      </c>
      <c r="N16" s="49"/>
      <c r="O16" s="49" t="n">
        <f aca="false">IF(N16,N16*20+100,0)</f>
        <v>0</v>
      </c>
      <c r="P16" s="49"/>
      <c r="Q16" s="50" t="n">
        <f aca="false">IF(P16,P16*20+100,0)</f>
        <v>0</v>
      </c>
      <c r="R16" s="49"/>
      <c r="S16" s="51" t="n">
        <f aca="false">IF(R16,R16*20+100,0)</f>
        <v>0</v>
      </c>
    </row>
    <row r="17" customFormat="false" ht="15" hidden="false" customHeight="false" outlineLevel="0" collapsed="false">
      <c r="A17" s="55" t="n">
        <v>12</v>
      </c>
      <c r="B17" s="49"/>
      <c r="C17" s="49" t="n">
        <f aca="false">IF(B17,B17*20+100,0)</f>
        <v>0</v>
      </c>
      <c r="D17" s="49"/>
      <c r="E17" s="49" t="n">
        <f aca="false">IF(D17,D17*20+100,0)</f>
        <v>0</v>
      </c>
      <c r="F17" s="49"/>
      <c r="G17" s="49" t="n">
        <f aca="false">IF(F17,F17*20+100,0)</f>
        <v>0</v>
      </c>
      <c r="H17" s="49"/>
      <c r="I17" s="49" t="n">
        <f aca="false">IF(H17,H17*20+100,0)</f>
        <v>0</v>
      </c>
      <c r="J17" s="49"/>
      <c r="K17" s="49" t="n">
        <f aca="false">IF(J17,J17*20+100,0)</f>
        <v>0</v>
      </c>
      <c r="L17" s="49"/>
      <c r="M17" s="49" t="n">
        <f aca="false">IF(L17,L17*20+100,0)</f>
        <v>0</v>
      </c>
      <c r="N17" s="49"/>
      <c r="O17" s="49" t="n">
        <f aca="false">IF(N17,N17*20+100,0)</f>
        <v>0</v>
      </c>
      <c r="P17" s="49"/>
      <c r="Q17" s="50" t="n">
        <f aca="false">IF(P17,P17*20+100,0)</f>
        <v>0</v>
      </c>
      <c r="R17" s="49"/>
      <c r="S17" s="51" t="n">
        <f aca="false">IF(R17,R17*20+100,0)</f>
        <v>0</v>
      </c>
    </row>
    <row r="18" customFormat="false" ht="15" hidden="false" customHeight="false" outlineLevel="0" collapsed="false">
      <c r="A18" s="55" t="n">
        <v>13</v>
      </c>
      <c r="B18" s="49"/>
      <c r="C18" s="49" t="n">
        <f aca="false">IF(B18,B18*20+100,0)</f>
        <v>0</v>
      </c>
      <c r="D18" s="49"/>
      <c r="E18" s="49" t="n">
        <f aca="false">IF(D18,D18*20+100,0)</f>
        <v>0</v>
      </c>
      <c r="F18" s="49"/>
      <c r="G18" s="49" t="n">
        <f aca="false">IF(F18,F18*20+100,0)</f>
        <v>0</v>
      </c>
      <c r="H18" s="49"/>
      <c r="I18" s="49" t="n">
        <f aca="false">IF(H18,H18*20+100,0)</f>
        <v>0</v>
      </c>
      <c r="J18" s="49"/>
      <c r="K18" s="49" t="n">
        <f aca="false">IF(J18,J18*20+100,0)</f>
        <v>0</v>
      </c>
      <c r="L18" s="49"/>
      <c r="M18" s="49" t="n">
        <f aca="false">IF(L18,L18*20+100,0)</f>
        <v>0</v>
      </c>
      <c r="N18" s="49"/>
      <c r="O18" s="49" t="n">
        <f aca="false">IF(N18,N18*20+100,0)</f>
        <v>0</v>
      </c>
      <c r="P18" s="49"/>
      <c r="Q18" s="50" t="n">
        <f aca="false">IF(P18,P18*20+100,0)</f>
        <v>0</v>
      </c>
      <c r="R18" s="49"/>
      <c r="S18" s="51" t="n">
        <f aca="false">IF(R18,R18*20+100,0)</f>
        <v>0</v>
      </c>
    </row>
    <row r="19" customFormat="false" ht="15" hidden="false" customHeight="false" outlineLevel="0" collapsed="false">
      <c r="A19" s="55" t="n">
        <v>14</v>
      </c>
      <c r="B19" s="49"/>
      <c r="C19" s="49" t="n">
        <f aca="false">IF(B19,B19*20+100,0)</f>
        <v>0</v>
      </c>
      <c r="D19" s="49"/>
      <c r="E19" s="49" t="n">
        <f aca="false">IF(D19,D19*20+100,0)</f>
        <v>0</v>
      </c>
      <c r="F19" s="49"/>
      <c r="G19" s="49" t="n">
        <f aca="false">IF(F19,F19*20+100,0)</f>
        <v>0</v>
      </c>
      <c r="H19" s="49"/>
      <c r="I19" s="49" t="n">
        <f aca="false">IF(H19,H19*20+100,0)</f>
        <v>0</v>
      </c>
      <c r="J19" s="49"/>
      <c r="K19" s="49" t="n">
        <f aca="false">IF(J19,J19*20+100,0)</f>
        <v>0</v>
      </c>
      <c r="L19" s="49"/>
      <c r="M19" s="49" t="n">
        <f aca="false">IF(L19,L19*20+100,0)</f>
        <v>0</v>
      </c>
      <c r="N19" s="49"/>
      <c r="O19" s="49" t="n">
        <f aca="false">IF(N19,N19*20+100,0)</f>
        <v>0</v>
      </c>
      <c r="P19" s="49"/>
      <c r="Q19" s="50" t="n">
        <f aca="false">IF(P19,P19*20+100,0)</f>
        <v>0</v>
      </c>
      <c r="R19" s="49"/>
      <c r="S19" s="51" t="n">
        <f aca="false">IF(R19,R19*20+100,0)</f>
        <v>0</v>
      </c>
    </row>
    <row r="20" customFormat="false" ht="15" hidden="false" customHeight="false" outlineLevel="0" collapsed="false">
      <c r="A20" s="55" t="n">
        <v>15</v>
      </c>
      <c r="B20" s="49"/>
      <c r="C20" s="49" t="n">
        <f aca="false">IF(B20,B20*20+100,0)</f>
        <v>0</v>
      </c>
      <c r="D20" s="49"/>
      <c r="E20" s="49" t="n">
        <f aca="false">IF(D20,D20*20+100,0)</f>
        <v>0</v>
      </c>
      <c r="F20" s="49"/>
      <c r="G20" s="49" t="n">
        <f aca="false">IF(F20,F20*20+100,0)</f>
        <v>0</v>
      </c>
      <c r="H20" s="49"/>
      <c r="I20" s="49" t="n">
        <f aca="false">IF(H20,H20*20+100,0)</f>
        <v>0</v>
      </c>
      <c r="J20" s="49"/>
      <c r="K20" s="49" t="n">
        <f aca="false">IF(J20,J20*20+100,0)</f>
        <v>0</v>
      </c>
      <c r="L20" s="49"/>
      <c r="M20" s="49" t="n">
        <f aca="false">IF(L20,L20*20+100,0)</f>
        <v>0</v>
      </c>
      <c r="N20" s="49"/>
      <c r="O20" s="49" t="n">
        <f aca="false">IF(N20,N20*20+100,0)</f>
        <v>0</v>
      </c>
      <c r="P20" s="49"/>
      <c r="Q20" s="50" t="n">
        <f aca="false">IF(P20,P20*20+100,0)</f>
        <v>0</v>
      </c>
      <c r="R20" s="49"/>
      <c r="S20" s="51" t="n">
        <f aca="false">IF(R20,R20*20+100,0)</f>
        <v>0</v>
      </c>
    </row>
    <row r="21" customFormat="false" ht="15" hidden="false" customHeight="false" outlineLevel="0" collapsed="false">
      <c r="A21" s="55" t="n">
        <v>16</v>
      </c>
      <c r="B21" s="49"/>
      <c r="C21" s="49" t="n">
        <f aca="false">IF(B21,B21*20+100,0)</f>
        <v>0</v>
      </c>
      <c r="D21" s="49"/>
      <c r="E21" s="49" t="n">
        <f aca="false">IF(D21,D21*20+100,0)</f>
        <v>0</v>
      </c>
      <c r="F21" s="49"/>
      <c r="G21" s="49" t="n">
        <f aca="false">IF(F21,F21*20+100,0)</f>
        <v>0</v>
      </c>
      <c r="H21" s="49"/>
      <c r="I21" s="49" t="n">
        <f aca="false">IF(H21,H21*20+100,0)</f>
        <v>0</v>
      </c>
      <c r="J21" s="49"/>
      <c r="K21" s="49" t="n">
        <f aca="false">IF(J21,J21*20+100,0)</f>
        <v>0</v>
      </c>
      <c r="L21" s="49"/>
      <c r="M21" s="49" t="n">
        <f aca="false">IF(L21,L21*20+100,0)</f>
        <v>0</v>
      </c>
      <c r="N21" s="49"/>
      <c r="O21" s="49" t="n">
        <f aca="false">IF(N21,N21*20+100,0)</f>
        <v>0</v>
      </c>
      <c r="P21" s="49"/>
      <c r="Q21" s="50" t="n">
        <f aca="false">IF(P21,P21*20+100,0)</f>
        <v>0</v>
      </c>
      <c r="R21" s="49"/>
      <c r="S21" s="51" t="n">
        <f aca="false">IF(R21,R21*20+100,0)</f>
        <v>0</v>
      </c>
    </row>
    <row r="22" customFormat="false" ht="15" hidden="false" customHeight="false" outlineLevel="0" collapsed="false">
      <c r="A22" s="55" t="n">
        <v>17</v>
      </c>
      <c r="B22" s="49"/>
      <c r="C22" s="49" t="n">
        <f aca="false">IF(B22,B22*20+100,0)</f>
        <v>0</v>
      </c>
      <c r="D22" s="49"/>
      <c r="E22" s="49" t="n">
        <f aca="false">IF(D22,D22*20+100,0)</f>
        <v>0</v>
      </c>
      <c r="F22" s="49"/>
      <c r="G22" s="49" t="n">
        <f aca="false">IF(F22,F22*20+100,0)</f>
        <v>0</v>
      </c>
      <c r="H22" s="49"/>
      <c r="I22" s="49" t="n">
        <f aca="false">IF(H22,H22*20+100,0)</f>
        <v>0</v>
      </c>
      <c r="J22" s="49"/>
      <c r="K22" s="49" t="n">
        <f aca="false">IF(J22,J22*20+100,0)</f>
        <v>0</v>
      </c>
      <c r="L22" s="49"/>
      <c r="M22" s="49" t="n">
        <f aca="false">IF(L22,L22*20+100,0)</f>
        <v>0</v>
      </c>
      <c r="N22" s="49"/>
      <c r="O22" s="49" t="n">
        <f aca="false">IF(N22,N22*20+100,0)</f>
        <v>0</v>
      </c>
      <c r="P22" s="49"/>
      <c r="Q22" s="50" t="n">
        <f aca="false">IF(P22,P22*20+100,0)</f>
        <v>0</v>
      </c>
      <c r="R22" s="49"/>
      <c r="S22" s="51" t="n">
        <f aca="false">IF(R22,R22*20+100,0)</f>
        <v>0</v>
      </c>
    </row>
    <row r="23" customFormat="false" ht="15" hidden="false" customHeight="false" outlineLevel="0" collapsed="false">
      <c r="A23" s="55" t="n">
        <v>18</v>
      </c>
      <c r="B23" s="49"/>
      <c r="C23" s="49" t="n">
        <f aca="false">IF(B23,B23*20+100,0)</f>
        <v>0</v>
      </c>
      <c r="D23" s="49"/>
      <c r="E23" s="49" t="n">
        <f aca="false">IF(D23,D23*20+100,0)</f>
        <v>0</v>
      </c>
      <c r="F23" s="49"/>
      <c r="G23" s="49" t="n">
        <f aca="false">IF(F23,F23*20+100,0)</f>
        <v>0</v>
      </c>
      <c r="H23" s="49"/>
      <c r="I23" s="49" t="n">
        <f aca="false">IF(H23,H23*20+100,0)</f>
        <v>0</v>
      </c>
      <c r="J23" s="49"/>
      <c r="K23" s="49" t="n">
        <f aca="false">IF(J23,J23*20+100,0)</f>
        <v>0</v>
      </c>
      <c r="L23" s="49"/>
      <c r="M23" s="49" t="n">
        <f aca="false">IF(L23,L23*20+100,0)</f>
        <v>0</v>
      </c>
      <c r="N23" s="49"/>
      <c r="O23" s="49" t="n">
        <f aca="false">IF(N23,N23*20+100,0)</f>
        <v>0</v>
      </c>
      <c r="P23" s="49"/>
      <c r="Q23" s="50" t="n">
        <f aca="false">IF(P23,P23*20+100,0)</f>
        <v>0</v>
      </c>
      <c r="R23" s="49"/>
      <c r="S23" s="51" t="n">
        <f aca="false">IF(R23,R23*20+100,0)</f>
        <v>0</v>
      </c>
    </row>
    <row r="24" customFormat="false" ht="15" hidden="false" customHeight="false" outlineLevel="0" collapsed="false">
      <c r="A24" s="55" t="n">
        <v>19</v>
      </c>
      <c r="B24" s="49"/>
      <c r="C24" s="49" t="n">
        <f aca="false">IF(B24,B24*20+100,0)</f>
        <v>0</v>
      </c>
      <c r="D24" s="49"/>
      <c r="E24" s="49" t="n">
        <f aca="false">IF(D24,D24*20+100,0)</f>
        <v>0</v>
      </c>
      <c r="F24" s="49"/>
      <c r="G24" s="49" t="n">
        <f aca="false">IF(F24,F24*20+100,0)</f>
        <v>0</v>
      </c>
      <c r="H24" s="49"/>
      <c r="I24" s="49" t="n">
        <f aca="false">IF(H24,H24*20+100,0)</f>
        <v>0</v>
      </c>
      <c r="J24" s="49"/>
      <c r="K24" s="49" t="n">
        <f aca="false">IF(J24,J24*20+100,0)</f>
        <v>0</v>
      </c>
      <c r="L24" s="49"/>
      <c r="M24" s="49" t="n">
        <f aca="false">IF(L24,L24*20+100,0)</f>
        <v>0</v>
      </c>
      <c r="N24" s="49"/>
      <c r="O24" s="49" t="n">
        <f aca="false">IF(N24,N24*20+100,0)</f>
        <v>0</v>
      </c>
      <c r="P24" s="49"/>
      <c r="Q24" s="50" t="n">
        <f aca="false">IF(P24,P24*20+100,0)</f>
        <v>0</v>
      </c>
      <c r="R24" s="49"/>
      <c r="S24" s="51" t="n">
        <f aca="false">IF(R24,R24*20+100,0)</f>
        <v>0</v>
      </c>
    </row>
    <row r="25" customFormat="false" ht="15" hidden="false" customHeight="false" outlineLevel="0" collapsed="false">
      <c r="A25" s="55" t="n">
        <v>20</v>
      </c>
      <c r="B25" s="49"/>
      <c r="C25" s="49" t="n">
        <f aca="false">IF(B25,B25*20+100,0)</f>
        <v>0</v>
      </c>
      <c r="D25" s="49"/>
      <c r="E25" s="49" t="n">
        <f aca="false">IF(D25,D25*20+100,0)</f>
        <v>0</v>
      </c>
      <c r="F25" s="49"/>
      <c r="G25" s="49" t="n">
        <f aca="false">IF(F25,F25*20+100,0)</f>
        <v>0</v>
      </c>
      <c r="H25" s="49"/>
      <c r="I25" s="49" t="n">
        <f aca="false">IF(H25,H25*20+100,0)</f>
        <v>0</v>
      </c>
      <c r="J25" s="49"/>
      <c r="K25" s="49" t="n">
        <f aca="false">IF(J25,J25*20+100,0)</f>
        <v>0</v>
      </c>
      <c r="L25" s="49"/>
      <c r="M25" s="49" t="n">
        <f aca="false">IF(L25,L25*20+100,0)</f>
        <v>0</v>
      </c>
      <c r="N25" s="49"/>
      <c r="O25" s="49" t="n">
        <f aca="false">IF(N25,N25*20+100,0)</f>
        <v>0</v>
      </c>
      <c r="P25" s="49"/>
      <c r="Q25" s="50" t="n">
        <f aca="false">IF(P25,P25*20+100,0)</f>
        <v>0</v>
      </c>
      <c r="R25" s="49"/>
      <c r="S25" s="51" t="n">
        <f aca="false">IF(R25,R25*20+100,0)</f>
        <v>0</v>
      </c>
    </row>
    <row r="26" customFormat="false" ht="15" hidden="false" customHeight="false" outlineLevel="0" collapsed="false">
      <c r="A26" s="55" t="n">
        <v>21</v>
      </c>
      <c r="B26" s="49"/>
      <c r="C26" s="49" t="n">
        <f aca="false">IF(B26,B26*20+100,0)</f>
        <v>0</v>
      </c>
      <c r="D26" s="49"/>
      <c r="E26" s="49" t="n">
        <f aca="false">IF(D26,D26*20+100,0)</f>
        <v>0</v>
      </c>
      <c r="F26" s="49"/>
      <c r="G26" s="49" t="n">
        <f aca="false">IF(F26,F26*20+100,0)</f>
        <v>0</v>
      </c>
      <c r="H26" s="49"/>
      <c r="I26" s="49" t="n">
        <f aca="false">IF(H26,H26*20+100,0)</f>
        <v>0</v>
      </c>
      <c r="J26" s="49"/>
      <c r="K26" s="49" t="n">
        <f aca="false">IF(J26,J26*20+100,0)</f>
        <v>0</v>
      </c>
      <c r="L26" s="49"/>
      <c r="M26" s="49" t="n">
        <f aca="false">IF(L26,L26*20+100,0)</f>
        <v>0</v>
      </c>
      <c r="N26" s="49"/>
      <c r="O26" s="49" t="n">
        <f aca="false">IF(N26,N26*20+100,0)</f>
        <v>0</v>
      </c>
      <c r="P26" s="49"/>
      <c r="Q26" s="50" t="n">
        <f aca="false">IF(P26,P26*20+100,0)</f>
        <v>0</v>
      </c>
      <c r="R26" s="49"/>
      <c r="S26" s="51" t="n">
        <f aca="false">IF(R26,R26*20+100,0)</f>
        <v>0</v>
      </c>
    </row>
    <row r="27" customFormat="false" ht="15" hidden="false" customHeight="false" outlineLevel="0" collapsed="false">
      <c r="A27" s="55" t="n">
        <v>22</v>
      </c>
      <c r="B27" s="49"/>
      <c r="C27" s="49" t="n">
        <f aca="false">IF(B27,B27*20+100,0)</f>
        <v>0</v>
      </c>
      <c r="D27" s="49"/>
      <c r="E27" s="49" t="n">
        <f aca="false">IF(D27,D27*20+100,0)</f>
        <v>0</v>
      </c>
      <c r="F27" s="49"/>
      <c r="G27" s="49" t="n">
        <f aca="false">IF(F27,F27*20+100,0)</f>
        <v>0</v>
      </c>
      <c r="H27" s="49"/>
      <c r="I27" s="49" t="n">
        <f aca="false">IF(H27,H27*20+100,0)</f>
        <v>0</v>
      </c>
      <c r="J27" s="49"/>
      <c r="K27" s="49" t="n">
        <f aca="false">IF(J27,J27*20+100,0)</f>
        <v>0</v>
      </c>
      <c r="L27" s="49"/>
      <c r="M27" s="49" t="n">
        <f aca="false">IF(L27,L27*20+100,0)</f>
        <v>0</v>
      </c>
      <c r="N27" s="49"/>
      <c r="O27" s="49" t="n">
        <f aca="false">IF(N27,N27*20+100,0)</f>
        <v>0</v>
      </c>
      <c r="P27" s="49"/>
      <c r="Q27" s="50" t="n">
        <f aca="false">IF(P27,P27*20+100,0)</f>
        <v>0</v>
      </c>
      <c r="R27" s="49"/>
      <c r="S27" s="51" t="n">
        <f aca="false">IF(R27,R27*20+100,0)</f>
        <v>0</v>
      </c>
    </row>
    <row r="28" customFormat="false" ht="15" hidden="false" customHeight="false" outlineLevel="0" collapsed="false">
      <c r="A28" s="55" t="n">
        <v>23</v>
      </c>
      <c r="B28" s="49"/>
      <c r="C28" s="49" t="n">
        <f aca="false">IF(B28,B28*20+100,0)</f>
        <v>0</v>
      </c>
      <c r="D28" s="49"/>
      <c r="E28" s="49" t="n">
        <f aca="false">IF(D28,D28*20+100,0)</f>
        <v>0</v>
      </c>
      <c r="F28" s="49"/>
      <c r="G28" s="49" t="n">
        <f aca="false">IF(F28,F28*20+100,0)</f>
        <v>0</v>
      </c>
      <c r="H28" s="49"/>
      <c r="I28" s="49" t="n">
        <f aca="false">IF(H28,H28*20+100,0)</f>
        <v>0</v>
      </c>
      <c r="J28" s="49"/>
      <c r="K28" s="49" t="n">
        <f aca="false">IF(J28,J28*20+100,0)</f>
        <v>0</v>
      </c>
      <c r="L28" s="49"/>
      <c r="M28" s="49" t="n">
        <f aca="false">IF(L28,L28*20+100,0)</f>
        <v>0</v>
      </c>
      <c r="N28" s="49"/>
      <c r="O28" s="49" t="n">
        <f aca="false">IF(N28,N28*20+100,0)</f>
        <v>0</v>
      </c>
      <c r="P28" s="49"/>
      <c r="Q28" s="50" t="n">
        <f aca="false">IF(P28,P28*20+100,0)</f>
        <v>0</v>
      </c>
      <c r="R28" s="49"/>
      <c r="S28" s="51" t="n">
        <f aca="false">IF(R28,R28*20+100,0)</f>
        <v>0</v>
      </c>
    </row>
    <row r="29" customFormat="false" ht="15" hidden="false" customHeight="false" outlineLevel="0" collapsed="false">
      <c r="A29" s="55" t="n">
        <v>24</v>
      </c>
      <c r="B29" s="49"/>
      <c r="C29" s="49" t="n">
        <f aca="false">IF(B29,B29*20+100,0)</f>
        <v>0</v>
      </c>
      <c r="D29" s="49"/>
      <c r="E29" s="49" t="n">
        <f aca="false">IF(D29,D29*20+100,0)</f>
        <v>0</v>
      </c>
      <c r="F29" s="49"/>
      <c r="G29" s="49" t="n">
        <f aca="false">IF(F29,F29*20+100,0)</f>
        <v>0</v>
      </c>
      <c r="H29" s="49"/>
      <c r="I29" s="49" t="n">
        <f aca="false">IF(H29,H29*20+100,0)</f>
        <v>0</v>
      </c>
      <c r="J29" s="49"/>
      <c r="K29" s="49" t="n">
        <f aca="false">IF(J29,J29*20+100,0)</f>
        <v>0</v>
      </c>
      <c r="L29" s="49"/>
      <c r="M29" s="49" t="n">
        <f aca="false">IF(L29,L29*20+100,0)</f>
        <v>0</v>
      </c>
      <c r="N29" s="49"/>
      <c r="O29" s="49" t="n">
        <f aca="false">IF(N29,N29*20+100,0)</f>
        <v>0</v>
      </c>
      <c r="P29" s="49"/>
      <c r="Q29" s="50" t="n">
        <f aca="false">IF(P29,P29*20+100,0)</f>
        <v>0</v>
      </c>
      <c r="R29" s="49"/>
      <c r="S29" s="51" t="n">
        <f aca="false">IF(R29,R29*20+100,0)</f>
        <v>0</v>
      </c>
    </row>
    <row r="30" customFormat="false" ht="15" hidden="false" customHeight="false" outlineLevel="0" collapsed="false">
      <c r="A30" s="55" t="n">
        <v>25</v>
      </c>
      <c r="B30" s="49"/>
      <c r="C30" s="49" t="n">
        <f aca="false">IF(B30,B30*20+100,0)</f>
        <v>0</v>
      </c>
      <c r="D30" s="49"/>
      <c r="E30" s="49" t="n">
        <f aca="false">IF(D30,D30*20+100,0)</f>
        <v>0</v>
      </c>
      <c r="F30" s="49"/>
      <c r="G30" s="49" t="n">
        <f aca="false">IF(F30,F30*20+100,0)</f>
        <v>0</v>
      </c>
      <c r="H30" s="49"/>
      <c r="I30" s="49" t="n">
        <f aca="false">IF(H30,H30*20+100,0)</f>
        <v>0</v>
      </c>
      <c r="J30" s="49"/>
      <c r="K30" s="49" t="n">
        <f aca="false">IF(J30,J30*20+100,0)</f>
        <v>0</v>
      </c>
      <c r="L30" s="49"/>
      <c r="M30" s="49" t="n">
        <f aca="false">IF(L30,L30*20+100,0)</f>
        <v>0</v>
      </c>
      <c r="N30" s="49"/>
      <c r="O30" s="49" t="n">
        <f aca="false">IF(N30,N30*20+100,0)</f>
        <v>0</v>
      </c>
      <c r="P30" s="49"/>
      <c r="Q30" s="50" t="n">
        <f aca="false">IF(P30,P30*20+100,0)</f>
        <v>0</v>
      </c>
      <c r="R30" s="49"/>
      <c r="S30" s="51" t="n">
        <f aca="false">IF(R30,R30*20+100,0)</f>
        <v>0</v>
      </c>
    </row>
    <row r="31" customFormat="false" ht="15" hidden="false" customHeight="false" outlineLevel="0" collapsed="false">
      <c r="A31" s="55" t="n">
        <v>26</v>
      </c>
      <c r="B31" s="49"/>
      <c r="C31" s="49" t="n">
        <f aca="false">IF(B31,B31*20+100,0)</f>
        <v>0</v>
      </c>
      <c r="D31" s="49"/>
      <c r="E31" s="49" t="n">
        <f aca="false">IF(D31,D31*20+100,0)</f>
        <v>0</v>
      </c>
      <c r="F31" s="49"/>
      <c r="G31" s="49" t="n">
        <f aca="false">IF(F31,F31*20+100,0)</f>
        <v>0</v>
      </c>
      <c r="H31" s="49"/>
      <c r="I31" s="49" t="n">
        <f aca="false">IF(H31,H31*20+100,0)</f>
        <v>0</v>
      </c>
      <c r="J31" s="49"/>
      <c r="K31" s="49" t="n">
        <f aca="false">IF(J31,J31*20+100,0)</f>
        <v>0</v>
      </c>
      <c r="L31" s="49"/>
      <c r="M31" s="49" t="n">
        <f aca="false">IF(L31,L31*20+100,0)</f>
        <v>0</v>
      </c>
      <c r="N31" s="49"/>
      <c r="O31" s="49" t="n">
        <f aca="false">IF(N31,N31*20+100,0)</f>
        <v>0</v>
      </c>
      <c r="P31" s="49"/>
      <c r="Q31" s="50" t="n">
        <f aca="false">IF(P31,P31*20+100,0)</f>
        <v>0</v>
      </c>
      <c r="R31" s="49"/>
      <c r="S31" s="51" t="n">
        <f aca="false">IF(R31,R31*20+100,0)</f>
        <v>0</v>
      </c>
    </row>
    <row r="32" customFormat="false" ht="15" hidden="false" customHeight="false" outlineLevel="0" collapsed="false">
      <c r="A32" s="55" t="n">
        <v>27</v>
      </c>
      <c r="B32" s="49"/>
      <c r="C32" s="49" t="n">
        <f aca="false">IF(B32,B32*20+100,0)</f>
        <v>0</v>
      </c>
      <c r="D32" s="49"/>
      <c r="E32" s="49" t="n">
        <f aca="false">IF(D32,D32*20+100,0)</f>
        <v>0</v>
      </c>
      <c r="F32" s="49"/>
      <c r="G32" s="49" t="n">
        <f aca="false">IF(F32,F32*20+100,0)</f>
        <v>0</v>
      </c>
      <c r="H32" s="49"/>
      <c r="I32" s="49" t="n">
        <f aca="false">IF(H32,H32*20+100,0)</f>
        <v>0</v>
      </c>
      <c r="J32" s="49"/>
      <c r="K32" s="49" t="n">
        <f aca="false">IF(J32,J32*20+100,0)</f>
        <v>0</v>
      </c>
      <c r="L32" s="49"/>
      <c r="M32" s="49" t="n">
        <f aca="false">IF(L32,L32*20+100,0)</f>
        <v>0</v>
      </c>
      <c r="N32" s="49"/>
      <c r="O32" s="49" t="n">
        <f aca="false">IF(N32,N32*20+100,0)</f>
        <v>0</v>
      </c>
      <c r="P32" s="49"/>
      <c r="Q32" s="50" t="n">
        <f aca="false">IF(P32,P32*20+100,0)</f>
        <v>0</v>
      </c>
      <c r="R32" s="49"/>
      <c r="S32" s="51" t="n">
        <f aca="false">IF(R32,R32*20+100,0)</f>
        <v>0</v>
      </c>
    </row>
    <row r="33" customFormat="false" ht="15" hidden="false" customHeight="false" outlineLevel="0" collapsed="false">
      <c r="A33" s="55" t="n">
        <v>28</v>
      </c>
      <c r="B33" s="49"/>
      <c r="C33" s="49" t="n">
        <f aca="false">IF(B33,B33*20+100,0)</f>
        <v>0</v>
      </c>
      <c r="D33" s="49"/>
      <c r="E33" s="49" t="n">
        <f aca="false">IF(D33,D33*20+100,0)</f>
        <v>0</v>
      </c>
      <c r="F33" s="49"/>
      <c r="G33" s="49" t="n">
        <f aca="false">IF(F33,F33*20+100,0)</f>
        <v>0</v>
      </c>
      <c r="H33" s="49"/>
      <c r="I33" s="49" t="n">
        <f aca="false">IF(H33,H33*20+100,0)</f>
        <v>0</v>
      </c>
      <c r="J33" s="49"/>
      <c r="K33" s="49" t="n">
        <f aca="false">IF(J33,J33*20+100,0)</f>
        <v>0</v>
      </c>
      <c r="L33" s="49"/>
      <c r="M33" s="49" t="n">
        <f aca="false">IF(L33,L33*20+100,0)</f>
        <v>0</v>
      </c>
      <c r="N33" s="49"/>
      <c r="O33" s="49" t="n">
        <f aca="false">IF(N33,N33*20+100,0)</f>
        <v>0</v>
      </c>
      <c r="P33" s="49"/>
      <c r="Q33" s="50" t="n">
        <f aca="false">IF(P33,P33*20+100,0)</f>
        <v>0</v>
      </c>
      <c r="R33" s="49"/>
      <c r="S33" s="51" t="n">
        <f aca="false">IF(R33,R33*20+100,0)</f>
        <v>0</v>
      </c>
    </row>
    <row r="34" customFormat="false" ht="15" hidden="false" customHeight="false" outlineLevel="0" collapsed="false">
      <c r="A34" s="55" t="n">
        <v>29</v>
      </c>
      <c r="B34" s="49"/>
      <c r="C34" s="49" t="n">
        <f aca="false">IF(B34,B34*20+100,0)</f>
        <v>0</v>
      </c>
      <c r="D34" s="49"/>
      <c r="E34" s="49" t="n">
        <f aca="false">IF(D34,D34*20+100,0)</f>
        <v>0</v>
      </c>
      <c r="F34" s="49"/>
      <c r="G34" s="49" t="n">
        <f aca="false">IF(F34,F34*20+100,0)</f>
        <v>0</v>
      </c>
      <c r="H34" s="49"/>
      <c r="I34" s="49" t="n">
        <f aca="false">IF(H34,H34*20+100,0)</f>
        <v>0</v>
      </c>
      <c r="J34" s="49"/>
      <c r="K34" s="49" t="n">
        <f aca="false">IF(J34,J34*20+100,0)</f>
        <v>0</v>
      </c>
      <c r="L34" s="49"/>
      <c r="M34" s="49" t="n">
        <f aca="false">IF(L34,L34*20+100,0)</f>
        <v>0</v>
      </c>
      <c r="N34" s="49"/>
      <c r="O34" s="49" t="n">
        <f aca="false">IF(N34,N34*20+100,0)</f>
        <v>0</v>
      </c>
      <c r="P34" s="49"/>
      <c r="Q34" s="50" t="n">
        <f aca="false">IF(P34,P34*20+100,0)</f>
        <v>0</v>
      </c>
      <c r="R34" s="49"/>
      <c r="S34" s="51" t="n">
        <f aca="false">IF(R34,R34*20+100,0)</f>
        <v>0</v>
      </c>
    </row>
    <row r="35" customFormat="false" ht="15" hidden="false" customHeight="false" outlineLevel="0" collapsed="false">
      <c r="A35" s="55" t="n">
        <v>30</v>
      </c>
      <c r="B35" s="49"/>
      <c r="C35" s="49" t="n">
        <f aca="false">IF(B35,B35*20+100,0)</f>
        <v>0</v>
      </c>
      <c r="D35" s="49"/>
      <c r="E35" s="49" t="n">
        <f aca="false">IF(D35,D35*20+100,0)</f>
        <v>0</v>
      </c>
      <c r="F35" s="49"/>
      <c r="G35" s="49" t="n">
        <f aca="false">IF(F35,F35*20+100,0)</f>
        <v>0</v>
      </c>
      <c r="H35" s="49"/>
      <c r="I35" s="49" t="n">
        <f aca="false">IF(H35,H35*20+100,0)</f>
        <v>0</v>
      </c>
      <c r="J35" s="49"/>
      <c r="K35" s="49" t="n">
        <f aca="false">IF(J35,J35*20+100,0)</f>
        <v>0</v>
      </c>
      <c r="L35" s="49"/>
      <c r="M35" s="49" t="n">
        <f aca="false">IF(L35,L35*20+100,0)</f>
        <v>0</v>
      </c>
      <c r="N35" s="49"/>
      <c r="O35" s="49" t="n">
        <f aca="false">IF(N35,N35*20+100,0)</f>
        <v>0</v>
      </c>
      <c r="P35" s="49"/>
      <c r="Q35" s="50" t="n">
        <f aca="false">IF(P35,P35*20+100,0)</f>
        <v>0</v>
      </c>
      <c r="R35" s="49"/>
      <c r="S35" s="51" t="n">
        <f aca="false">IF(R35,R35*20+100,0)</f>
        <v>0</v>
      </c>
    </row>
    <row r="36" customFormat="false" ht="30.75" hidden="false" customHeight="true" outlineLevel="0" collapsed="false">
      <c r="A36" s="69"/>
      <c r="B36" s="57" t="s">
        <v>53</v>
      </c>
      <c r="C36" s="58" t="n">
        <f aca="false">SUM(C6:C35)</f>
        <v>4120</v>
      </c>
      <c r="D36" s="57" t="s">
        <v>53</v>
      </c>
      <c r="E36" s="58" t="n">
        <f aca="false">SUM(E6:E35)</f>
        <v>3840</v>
      </c>
      <c r="F36" s="57" t="s">
        <v>53</v>
      </c>
      <c r="G36" s="58" t="n">
        <f aca="false">SUM(G6:G35)</f>
        <v>680</v>
      </c>
      <c r="H36" s="57" t="s">
        <v>53</v>
      </c>
      <c r="I36" s="58" t="n">
        <f aca="false">SUM(I6:I35)</f>
        <v>620</v>
      </c>
      <c r="J36" s="57" t="s">
        <v>53</v>
      </c>
      <c r="K36" s="58" t="n">
        <f aca="false">SUM(K6:K35)</f>
        <v>1920</v>
      </c>
      <c r="L36" s="57" t="s">
        <v>53</v>
      </c>
      <c r="M36" s="58" t="n">
        <f aca="false">SUM(M6:M35)</f>
        <v>2740</v>
      </c>
      <c r="N36" s="57" t="s">
        <v>53</v>
      </c>
      <c r="O36" s="58" t="n">
        <f aca="false">SUM(O6:O35)</f>
        <v>680</v>
      </c>
      <c r="P36" s="57" t="s">
        <v>53</v>
      </c>
      <c r="Q36" s="58" t="n">
        <f aca="false">SUM(Q6:Q35)</f>
        <v>1920</v>
      </c>
      <c r="R36" s="57" t="s">
        <v>53</v>
      </c>
      <c r="S36" s="51" t="n">
        <f aca="false">SUM(S6:S35)</f>
        <v>1320</v>
      </c>
    </row>
    <row r="37" customFormat="false" ht="35.25" hidden="false" customHeight="true" outlineLevel="0" collapsed="false">
      <c r="A37" s="70"/>
      <c r="B37" s="59" t="s">
        <v>54</v>
      </c>
      <c r="C37" s="58" t="n">
        <f aca="false">IF(C36=0,9,RANK(C36,$C$36:$S$36,0))</f>
        <v>1</v>
      </c>
      <c r="D37" s="59" t="s">
        <v>54</v>
      </c>
      <c r="E37" s="58" t="n">
        <f aca="false">IF(E36=0,9,RANK(E36,$C$36:$S$36,0))</f>
        <v>2</v>
      </c>
      <c r="F37" s="59" t="s">
        <v>54</v>
      </c>
      <c r="G37" s="58" t="n">
        <f aca="false">IF(G36=0,9,RANK(G36,$C$36:$S$36,0))</f>
        <v>7</v>
      </c>
      <c r="H37" s="59" t="s">
        <v>54</v>
      </c>
      <c r="I37" s="58" t="n">
        <f aca="false">IF(I36=0,9,RANK(I36,$C$36:$S$36,0))</f>
        <v>9</v>
      </c>
      <c r="J37" s="59" t="s">
        <v>54</v>
      </c>
      <c r="K37" s="58" t="n">
        <f aca="false">IF(K36=0,9,RANK(K36,$C$36:$S$36,0))</f>
        <v>4</v>
      </c>
      <c r="L37" s="59" t="s">
        <v>54</v>
      </c>
      <c r="M37" s="58" t="n">
        <f aca="false">IF(M36=0,9,RANK(M36,$C$36:$S$36,0))</f>
        <v>3</v>
      </c>
      <c r="N37" s="59" t="s">
        <v>54</v>
      </c>
      <c r="O37" s="58" t="n">
        <f aca="false">IF(O36=0,9,RANK(O36,$C$36:$S$36,0))</f>
        <v>7</v>
      </c>
      <c r="P37" s="59" t="s">
        <v>54</v>
      </c>
      <c r="Q37" s="58" t="n">
        <f aca="false">IF(Q36=0,9,RANK(Q36,$C$36:$S$36,0))</f>
        <v>4</v>
      </c>
      <c r="R37" s="57" t="s">
        <v>54</v>
      </c>
      <c r="S37" s="51" t="n">
        <f aca="false">IF(S36=0,9,RANK(S36,$C$36:$S$36,0))</f>
        <v>6</v>
      </c>
    </row>
    <row r="38" customFormat="false" ht="15" hidden="false" customHeight="true" outlineLevel="0" collapsed="false">
      <c r="A38" s="60"/>
      <c r="B38" s="57" t="s">
        <v>55</v>
      </c>
      <c r="C38" s="49" t="n">
        <f aca="false">COUNT(B6:B35)</f>
        <v>6</v>
      </c>
      <c r="D38" s="57" t="s">
        <v>55</v>
      </c>
      <c r="E38" s="49" t="n">
        <f aca="false">COUNT(D6:D35)</f>
        <v>6</v>
      </c>
      <c r="F38" s="57" t="s">
        <v>55</v>
      </c>
      <c r="G38" s="49" t="n">
        <f aca="false">COUNT(F6:F35)</f>
        <v>1</v>
      </c>
      <c r="H38" s="57" t="s">
        <v>55</v>
      </c>
      <c r="I38" s="49" t="n">
        <f aca="false">COUNT(H6:H35)</f>
        <v>1</v>
      </c>
      <c r="J38" s="57" t="s">
        <v>55</v>
      </c>
      <c r="K38" s="49" t="n">
        <f aca="false">COUNT(J6:J35)</f>
        <v>3</v>
      </c>
      <c r="L38" s="57" t="s">
        <v>55</v>
      </c>
      <c r="M38" s="49" t="n">
        <f aca="false">COUNT(L6:L35)</f>
        <v>4</v>
      </c>
      <c r="N38" s="57" t="s">
        <v>55</v>
      </c>
      <c r="O38" s="49" t="n">
        <f aca="false">COUNT(N6:N35)</f>
        <v>1</v>
      </c>
      <c r="P38" s="57" t="s">
        <v>55</v>
      </c>
      <c r="Q38" s="50" t="n">
        <f aca="false">COUNT(P6:P35)</f>
        <v>3</v>
      </c>
      <c r="R38" s="57" t="s">
        <v>55</v>
      </c>
      <c r="S38" s="51" t="n">
        <f aca="false">COUNT(R6:R35)</f>
        <v>2</v>
      </c>
    </row>
    <row r="39" customFormat="false" ht="15" hidden="false" customHeight="false" outlineLevel="0" collapsed="false">
      <c r="A39" s="71"/>
      <c r="B39" s="57"/>
      <c r="C39" s="49"/>
      <c r="D39" s="57"/>
      <c r="E39" s="49"/>
      <c r="F39" s="57"/>
      <c r="G39" s="49"/>
      <c r="H39" s="57"/>
      <c r="I39" s="49"/>
      <c r="J39" s="57"/>
      <c r="K39" s="49"/>
      <c r="L39" s="57"/>
      <c r="M39" s="49"/>
      <c r="N39" s="57"/>
      <c r="O39" s="49"/>
      <c r="P39" s="57"/>
      <c r="Q39" s="50"/>
      <c r="R39" s="57"/>
      <c r="S39" s="51"/>
    </row>
    <row r="40" customFormat="false" ht="15" hidden="false" customHeight="false" outlineLevel="0" collapsed="false">
      <c r="A40" s="60"/>
      <c r="B40" s="57"/>
      <c r="C40" s="49"/>
      <c r="D40" s="57"/>
      <c r="E40" s="49"/>
      <c r="F40" s="57"/>
      <c r="G40" s="49"/>
      <c r="H40" s="57"/>
      <c r="I40" s="49"/>
      <c r="J40" s="57"/>
      <c r="K40" s="49"/>
      <c r="L40" s="57"/>
      <c r="M40" s="49"/>
      <c r="N40" s="57"/>
      <c r="O40" s="49"/>
      <c r="P40" s="57"/>
      <c r="Q40" s="50"/>
      <c r="R40" s="57"/>
      <c r="S40" s="51"/>
    </row>
    <row r="41" customFormat="false" ht="40.5" hidden="false" customHeight="true" outlineLevel="0" collapsed="false">
      <c r="A41" s="61"/>
      <c r="B41" s="62" t="s">
        <v>56</v>
      </c>
      <c r="C41" s="62" t="n">
        <f aca="false">MAX(B6:B35)</f>
        <v>33</v>
      </c>
      <c r="D41" s="62" t="s">
        <v>56</v>
      </c>
      <c r="E41" s="62" t="n">
        <f aca="false">MAX(D6:D35)</f>
        <v>32</v>
      </c>
      <c r="F41" s="62" t="s">
        <v>56</v>
      </c>
      <c r="G41" s="62" t="n">
        <f aca="false">MAX(F6:F35)</f>
        <v>29</v>
      </c>
      <c r="H41" s="62" t="s">
        <v>56</v>
      </c>
      <c r="I41" s="62" t="n">
        <f aca="false">MAX(H6:H35)</f>
        <v>26</v>
      </c>
      <c r="J41" s="62" t="s">
        <v>56</v>
      </c>
      <c r="K41" s="62" t="n">
        <f aca="false">MAX(J6:J35)</f>
        <v>28</v>
      </c>
      <c r="L41" s="62" t="s">
        <v>56</v>
      </c>
      <c r="M41" s="62" t="n">
        <f aca="false">MAX(L6:L35)</f>
        <v>35</v>
      </c>
      <c r="N41" s="62" t="s">
        <v>56</v>
      </c>
      <c r="O41" s="62" t="n">
        <f aca="false">MAX(N6:N35)</f>
        <v>29</v>
      </c>
      <c r="P41" s="62" t="s">
        <v>56</v>
      </c>
      <c r="Q41" s="67" t="n">
        <f aca="false">MAX(P6:P35)</f>
        <v>28</v>
      </c>
      <c r="R41" s="62" t="s">
        <v>56</v>
      </c>
      <c r="S41" s="68" t="n">
        <f aca="false">MAX(R6:R35)</f>
        <v>28</v>
      </c>
    </row>
    <row r="42" customFormat="false" ht="15" hidden="false" customHeight="false" outlineLevel="0" collapsed="false">
      <c r="A42" s="4"/>
      <c r="B42" s="4"/>
      <c r="C42" s="4"/>
      <c r="D42" s="4"/>
      <c r="E42" s="4"/>
      <c r="F42" s="4"/>
      <c r="G42" s="4"/>
      <c r="H42" s="4"/>
      <c r="I42" s="4"/>
      <c r="J42" s="4"/>
      <c r="K42" s="4"/>
      <c r="L42" s="4"/>
      <c r="M42" s="4"/>
      <c r="N42" s="4"/>
      <c r="O42" s="4"/>
      <c r="P42" s="4"/>
      <c r="Q42" s="4"/>
      <c r="R42" s="4"/>
      <c r="S42" s="4"/>
    </row>
    <row r="43" customFormat="false" ht="15" hidden="false" customHeight="false" outlineLevel="0" collapsed="false">
      <c r="A43" s="4"/>
      <c r="B43" s="4"/>
      <c r="C43" s="4"/>
      <c r="D43" s="4"/>
      <c r="E43" s="4"/>
      <c r="F43" s="4"/>
      <c r="G43" s="4"/>
      <c r="H43" s="4"/>
      <c r="I43" s="4"/>
      <c r="J43" s="4"/>
      <c r="K43" s="4"/>
      <c r="L43" s="4"/>
      <c r="M43" s="4"/>
      <c r="N43" s="4"/>
      <c r="O43" s="4"/>
      <c r="P43" s="4"/>
      <c r="Q43" s="4"/>
      <c r="R43" s="4"/>
      <c r="S43" s="4"/>
    </row>
    <row r="44" customFormat="false" ht="15" hidden="false" customHeight="false" outlineLevel="0" collapsed="false">
      <c r="A44" s="4"/>
      <c r="B44" s="4"/>
      <c r="C44" s="4"/>
      <c r="D44" s="4"/>
      <c r="E44" s="4"/>
      <c r="F44" s="4"/>
      <c r="G44" s="4"/>
      <c r="H44" s="4"/>
      <c r="I44" s="4"/>
      <c r="J44" s="4"/>
      <c r="K44" s="4"/>
      <c r="L44" s="4"/>
      <c r="M44" s="4"/>
      <c r="N44" s="4"/>
      <c r="O44" s="4"/>
      <c r="P44" s="4"/>
      <c r="Q44" s="4"/>
      <c r="R44" s="4"/>
      <c r="S44" s="4"/>
    </row>
    <row r="45" customFormat="false" ht="15" hidden="false" customHeight="true" outlineLevel="0" collapsed="false">
      <c r="A45" s="14" t="s">
        <v>60</v>
      </c>
      <c r="B45" s="14"/>
      <c r="C45" s="14"/>
      <c r="D45" s="14"/>
      <c r="E45" s="14"/>
      <c r="F45" s="14"/>
      <c r="G45" s="14"/>
      <c r="H45" s="14"/>
      <c r="I45" s="14"/>
      <c r="J45" s="14"/>
      <c r="K45" s="14"/>
      <c r="L45" s="14"/>
      <c r="M45" s="14"/>
      <c r="N45" s="14"/>
      <c r="O45" s="14"/>
      <c r="P45" s="14"/>
      <c r="Q45" s="14"/>
      <c r="R45" s="14"/>
      <c r="S45" s="14"/>
    </row>
    <row r="46" customFormat="false" ht="15" hidden="false" customHeight="true" outlineLevel="0" collapsed="false">
      <c r="A46" s="14"/>
      <c r="B46" s="14"/>
      <c r="C46" s="14"/>
      <c r="D46" s="14"/>
      <c r="E46" s="14"/>
      <c r="F46" s="14"/>
      <c r="G46" s="14"/>
      <c r="H46" s="14"/>
      <c r="I46" s="14"/>
      <c r="J46" s="14"/>
      <c r="K46" s="14"/>
      <c r="L46" s="14"/>
      <c r="M46" s="14"/>
      <c r="N46" s="14"/>
      <c r="O46" s="14"/>
      <c r="P46" s="14"/>
      <c r="Q46" s="14"/>
      <c r="R46" s="14"/>
      <c r="S46" s="14"/>
    </row>
    <row r="47" customFormat="false" ht="15" hidden="false" customHeight="true" outlineLevel="0" collapsed="false">
      <c r="A47" s="48" t="s">
        <v>49</v>
      </c>
      <c r="B47" s="49" t="s">
        <v>50</v>
      </c>
      <c r="C47" s="49"/>
      <c r="D47" s="49" t="s">
        <v>50</v>
      </c>
      <c r="E47" s="49"/>
      <c r="F47" s="49" t="s">
        <v>50</v>
      </c>
      <c r="G47" s="49"/>
      <c r="H47" s="49" t="s">
        <v>50</v>
      </c>
      <c r="I47" s="49"/>
      <c r="J47" s="49" t="s">
        <v>50</v>
      </c>
      <c r="K47" s="49"/>
      <c r="L47" s="49" t="s">
        <v>50</v>
      </c>
      <c r="M47" s="49"/>
      <c r="N47" s="49" t="s">
        <v>50</v>
      </c>
      <c r="O47" s="49"/>
      <c r="P47" s="50" t="s">
        <v>50</v>
      </c>
      <c r="Q47" s="50"/>
      <c r="R47" s="51" t="s">
        <v>50</v>
      </c>
      <c r="S47" s="51"/>
    </row>
    <row r="48" customFormat="false" ht="17.35" hidden="false" customHeight="false" outlineLevel="0" collapsed="false">
      <c r="A48" s="48"/>
      <c r="B48" s="52" t="str">
        <f aca="false">TABELA!H10</f>
        <v>VLATKO PEKOVIĆ</v>
      </c>
      <c r="C48" s="52"/>
      <c r="D48" s="52" t="str">
        <f aca="false">TABELA!H11</f>
        <v>IVICA RAJKOVIĆ</v>
      </c>
      <c r="E48" s="52"/>
      <c r="F48" s="52" t="str">
        <f aca="false">TABELA!H12</f>
        <v>PETAR OBRADOVIĆ</v>
      </c>
      <c r="G48" s="52"/>
      <c r="H48" s="52" t="str">
        <f aca="false">TABELA!H13</f>
        <v>BOJAN GOVEDARICA</v>
      </c>
      <c r="I48" s="52"/>
      <c r="J48" s="52" t="str">
        <f aca="false">TABELA!H14</f>
        <v>BOGDAN MARKOVIĆ</v>
      </c>
      <c r="K48" s="52"/>
      <c r="L48" s="52" t="str">
        <f aca="false">TABELA!H15</f>
        <v>BALŠA FUŠTIĆ</v>
      </c>
      <c r="M48" s="52"/>
      <c r="N48" s="52" t="str">
        <f aca="false">TABELA!H16</f>
        <v>RADULE MIĆOVIĆ</v>
      </c>
      <c r="O48" s="52"/>
      <c r="P48" s="53" t="str">
        <f aca="false">TABELA!H17</f>
        <v>MEHMED DŽIDIĆ</v>
      </c>
      <c r="Q48" s="53"/>
      <c r="R48" s="54" t="str">
        <f aca="false">TABELA!H18</f>
        <v>ORHAN BAŠIĆ</v>
      </c>
      <c r="S48" s="54"/>
    </row>
    <row r="49" customFormat="false" ht="15" hidden="false" customHeight="false" outlineLevel="0" collapsed="false">
      <c r="A49" s="48"/>
      <c r="B49" s="49" t="s">
        <v>51</v>
      </c>
      <c r="C49" s="49" t="s">
        <v>52</v>
      </c>
      <c r="D49" s="49" t="s">
        <v>51</v>
      </c>
      <c r="E49" s="49" t="s">
        <v>52</v>
      </c>
      <c r="F49" s="49" t="s">
        <v>51</v>
      </c>
      <c r="G49" s="49" t="s">
        <v>52</v>
      </c>
      <c r="H49" s="49" t="s">
        <v>51</v>
      </c>
      <c r="I49" s="49" t="s">
        <v>52</v>
      </c>
      <c r="J49" s="49" t="s">
        <v>51</v>
      </c>
      <c r="K49" s="49" t="s">
        <v>52</v>
      </c>
      <c r="L49" s="49" t="s">
        <v>51</v>
      </c>
      <c r="M49" s="49" t="s">
        <v>52</v>
      </c>
      <c r="N49" s="49" t="s">
        <v>51</v>
      </c>
      <c r="O49" s="49" t="s">
        <v>52</v>
      </c>
      <c r="P49" s="49" t="s">
        <v>51</v>
      </c>
      <c r="Q49" s="50" t="s">
        <v>52</v>
      </c>
      <c r="R49" s="49" t="s">
        <v>51</v>
      </c>
      <c r="S49" s="51" t="s">
        <v>52</v>
      </c>
    </row>
    <row r="50" customFormat="false" ht="15" hidden="false" customHeight="false" outlineLevel="0" collapsed="false">
      <c r="A50" s="55" t="n">
        <v>1</v>
      </c>
      <c r="B50" s="49" t="n">
        <v>27</v>
      </c>
      <c r="C50" s="49" t="n">
        <f aca="false">IF(B50,B50*20+100,0)</f>
        <v>640</v>
      </c>
      <c r="D50" s="49" t="n">
        <v>21</v>
      </c>
      <c r="E50" s="49" t="n">
        <f aca="false">IF(D50,D50*20+100,0)</f>
        <v>520</v>
      </c>
      <c r="F50" s="49" t="n">
        <v>29</v>
      </c>
      <c r="G50" s="49" t="n">
        <f aca="false">IF(F50,F50*20+100,0)</f>
        <v>680</v>
      </c>
      <c r="H50" s="49" t="n">
        <v>27</v>
      </c>
      <c r="I50" s="49" t="n">
        <f aca="false">IF(H50,H50*20+100,0)</f>
        <v>640</v>
      </c>
      <c r="J50" s="49" t="n">
        <v>27</v>
      </c>
      <c r="K50" s="49" t="n">
        <f aca="false">IF(J50,J50*20+100,0)</f>
        <v>640</v>
      </c>
      <c r="L50" s="49" t="n">
        <v>27</v>
      </c>
      <c r="M50" s="49" t="n">
        <f aca="false">IF(L50,L50*20+100,0)</f>
        <v>640</v>
      </c>
      <c r="N50" s="49" t="n">
        <v>30</v>
      </c>
      <c r="O50" s="49" t="n">
        <f aca="false">IF(N50,N50*20+100,0)</f>
        <v>700</v>
      </c>
      <c r="P50" s="49" t="n">
        <v>22</v>
      </c>
      <c r="Q50" s="50" t="n">
        <f aca="false">IF(P50,P50*20+100,0)</f>
        <v>540</v>
      </c>
      <c r="R50" s="49"/>
      <c r="S50" s="51" t="n">
        <f aca="false">IF(R50,R50*20+100,0)</f>
        <v>0</v>
      </c>
    </row>
    <row r="51" customFormat="false" ht="15" hidden="false" customHeight="false" outlineLevel="0" collapsed="false">
      <c r="A51" s="55" t="n">
        <v>2</v>
      </c>
      <c r="B51" s="49"/>
      <c r="C51" s="49" t="n">
        <f aca="false">IF(B51,B51*20+100,0)</f>
        <v>0</v>
      </c>
      <c r="D51" s="49"/>
      <c r="E51" s="49" t="n">
        <f aca="false">IF(D51,D51*20+100,0)</f>
        <v>0</v>
      </c>
      <c r="F51" s="49"/>
      <c r="G51" s="49" t="n">
        <f aca="false">IF(F51,F51*20+100,0)</f>
        <v>0</v>
      </c>
      <c r="H51" s="49"/>
      <c r="I51" s="49" t="n">
        <f aca="false">IF(H51,H51*20+100,0)</f>
        <v>0</v>
      </c>
      <c r="J51" s="49"/>
      <c r="K51" s="49" t="n">
        <f aca="false">IF(J51,J51*20+100,0)</f>
        <v>0</v>
      </c>
      <c r="L51" s="49"/>
      <c r="M51" s="49" t="n">
        <f aca="false">IF(L51,L51*20+100,0)</f>
        <v>0</v>
      </c>
      <c r="N51" s="49" t="n">
        <v>30</v>
      </c>
      <c r="O51" s="49" t="n">
        <f aca="false">IF(N51,N51*20+100,0)</f>
        <v>700</v>
      </c>
      <c r="P51" s="49"/>
      <c r="Q51" s="50" t="n">
        <f aca="false">IF(P51,P51*20+100,0)</f>
        <v>0</v>
      </c>
      <c r="R51" s="49"/>
      <c r="S51" s="51" t="n">
        <f aca="false">IF(R51,R51*20+100,0)</f>
        <v>0</v>
      </c>
    </row>
    <row r="52" customFormat="false" ht="15" hidden="false" customHeight="false" outlineLevel="0" collapsed="false">
      <c r="A52" s="55" t="n">
        <v>3</v>
      </c>
      <c r="B52" s="49"/>
      <c r="C52" s="49" t="n">
        <f aca="false">IF(B52,B52*20+100,0)</f>
        <v>0</v>
      </c>
      <c r="D52" s="49"/>
      <c r="E52" s="49" t="n">
        <f aca="false">IF(D52,D52*20+100,0)</f>
        <v>0</v>
      </c>
      <c r="F52" s="49"/>
      <c r="G52" s="49" t="n">
        <f aca="false">IF(F52,F52*20+100,0)</f>
        <v>0</v>
      </c>
      <c r="H52" s="49"/>
      <c r="I52" s="49" t="n">
        <f aca="false">IF(H52,H52*20+100,0)</f>
        <v>0</v>
      </c>
      <c r="J52" s="49"/>
      <c r="K52" s="49" t="n">
        <f aca="false">IF(J52,J52*20+100,0)</f>
        <v>0</v>
      </c>
      <c r="L52" s="49"/>
      <c r="M52" s="49" t="n">
        <f aca="false">IF(L52,L52*20+100,0)</f>
        <v>0</v>
      </c>
      <c r="N52" s="49" t="n">
        <v>25</v>
      </c>
      <c r="O52" s="49" t="n">
        <f aca="false">IF(N52,N52*20+100,0)</f>
        <v>600</v>
      </c>
      <c r="P52" s="49"/>
      <c r="Q52" s="50" t="n">
        <f aca="false">IF(P52,P52*20+100,0)</f>
        <v>0</v>
      </c>
      <c r="R52" s="49"/>
      <c r="S52" s="51" t="n">
        <f aca="false">IF(R52,R52*20+100,0)</f>
        <v>0</v>
      </c>
    </row>
    <row r="53" customFormat="false" ht="15" hidden="false" customHeight="false" outlineLevel="0" collapsed="false">
      <c r="A53" s="55" t="n">
        <v>4</v>
      </c>
      <c r="B53" s="49"/>
      <c r="C53" s="49" t="n">
        <f aca="false">IF(B53,B53*20+100,0)</f>
        <v>0</v>
      </c>
      <c r="D53" s="49"/>
      <c r="E53" s="49" t="n">
        <f aca="false">IF(D53,D53*20+100,0)</f>
        <v>0</v>
      </c>
      <c r="F53" s="49"/>
      <c r="G53" s="49" t="n">
        <f aca="false">IF(F53,F53*20+100,0)</f>
        <v>0</v>
      </c>
      <c r="H53" s="49"/>
      <c r="I53" s="49" t="n">
        <f aca="false">IF(H53,H53*20+100,0)</f>
        <v>0</v>
      </c>
      <c r="J53" s="49"/>
      <c r="K53" s="49" t="n">
        <f aca="false">IF(J53,J53*20+100,0)</f>
        <v>0</v>
      </c>
      <c r="L53" s="49"/>
      <c r="M53" s="49" t="n">
        <f aca="false">IF(L53,L53*20+100,0)</f>
        <v>0</v>
      </c>
      <c r="N53" s="49" t="n">
        <v>27</v>
      </c>
      <c r="O53" s="49" t="n">
        <f aca="false">IF(N53,N53*20+100,0)</f>
        <v>640</v>
      </c>
      <c r="P53" s="49"/>
      <c r="Q53" s="50" t="n">
        <f aca="false">IF(P53,P53*20+100,0)</f>
        <v>0</v>
      </c>
      <c r="R53" s="49"/>
      <c r="S53" s="51" t="n">
        <f aca="false">IF(R53,R53*20+100,0)</f>
        <v>0</v>
      </c>
    </row>
    <row r="54" customFormat="false" ht="15" hidden="false" customHeight="false" outlineLevel="0" collapsed="false">
      <c r="A54" s="55" t="n">
        <v>5</v>
      </c>
      <c r="B54" s="49"/>
      <c r="C54" s="49" t="n">
        <f aca="false">IF(B54,B54*20+100,0)</f>
        <v>0</v>
      </c>
      <c r="D54" s="49"/>
      <c r="E54" s="49" t="n">
        <f aca="false">IF(D54,D54*20+100,0)</f>
        <v>0</v>
      </c>
      <c r="F54" s="49"/>
      <c r="G54" s="49" t="n">
        <f aca="false">IF(F54,F54*20+100,0)</f>
        <v>0</v>
      </c>
      <c r="H54" s="49"/>
      <c r="I54" s="49" t="n">
        <f aca="false">IF(H54,H54*20+100,0)</f>
        <v>0</v>
      </c>
      <c r="J54" s="49"/>
      <c r="K54" s="49" t="n">
        <f aca="false">IF(J54,J54*20+100,0)</f>
        <v>0</v>
      </c>
      <c r="L54" s="49"/>
      <c r="M54" s="49" t="n">
        <f aca="false">IF(L54,L54*20+100,0)</f>
        <v>0</v>
      </c>
      <c r="N54" s="49"/>
      <c r="O54" s="49" t="n">
        <f aca="false">IF(N54,N54*20+100,0)</f>
        <v>0</v>
      </c>
      <c r="P54" s="49"/>
      <c r="Q54" s="50" t="n">
        <f aca="false">IF(P54,P54*20+100,0)</f>
        <v>0</v>
      </c>
      <c r="R54" s="49"/>
      <c r="S54" s="51" t="n">
        <f aca="false">IF(R54,R54*20+100,0)</f>
        <v>0</v>
      </c>
    </row>
    <row r="55" customFormat="false" ht="15" hidden="false" customHeight="false" outlineLevel="0" collapsed="false">
      <c r="A55" s="55" t="n">
        <v>6</v>
      </c>
      <c r="B55" s="49"/>
      <c r="C55" s="49" t="n">
        <f aca="false">IF(B55,B55*20+100,0)</f>
        <v>0</v>
      </c>
      <c r="D55" s="49"/>
      <c r="E55" s="49" t="n">
        <f aca="false">IF(D55,D55*20+100,0)</f>
        <v>0</v>
      </c>
      <c r="F55" s="49"/>
      <c r="G55" s="49" t="n">
        <f aca="false">IF(F55,F55*20+100,0)</f>
        <v>0</v>
      </c>
      <c r="H55" s="49"/>
      <c r="I55" s="49" t="n">
        <f aca="false">IF(H55,H55*20+100,0)</f>
        <v>0</v>
      </c>
      <c r="J55" s="49"/>
      <c r="K55" s="49" t="n">
        <f aca="false">IF(J55,J55*20+100,0)</f>
        <v>0</v>
      </c>
      <c r="L55" s="49"/>
      <c r="M55" s="49" t="n">
        <f aca="false">IF(L55,L55*20+100,0)</f>
        <v>0</v>
      </c>
      <c r="N55" s="49"/>
      <c r="O55" s="49" t="n">
        <f aca="false">IF(N55,N55*20+100,0)</f>
        <v>0</v>
      </c>
      <c r="P55" s="49"/>
      <c r="Q55" s="50" t="n">
        <f aca="false">IF(P55,P55*20+100,0)</f>
        <v>0</v>
      </c>
      <c r="R55" s="49"/>
      <c r="S55" s="51" t="n">
        <f aca="false">IF(R55,R55*20+100,0)</f>
        <v>0</v>
      </c>
    </row>
    <row r="56" customFormat="false" ht="15" hidden="false" customHeight="false" outlineLevel="0" collapsed="false">
      <c r="A56" s="55" t="n">
        <v>7</v>
      </c>
      <c r="B56" s="49"/>
      <c r="C56" s="49" t="n">
        <f aca="false">IF(B56,B56*20+100,0)</f>
        <v>0</v>
      </c>
      <c r="D56" s="49"/>
      <c r="E56" s="49" t="n">
        <f aca="false">IF(D56,D56*20+100,0)</f>
        <v>0</v>
      </c>
      <c r="F56" s="49"/>
      <c r="G56" s="49" t="n">
        <f aca="false">IF(F56,F56*20+100,0)</f>
        <v>0</v>
      </c>
      <c r="H56" s="49"/>
      <c r="I56" s="49" t="n">
        <f aca="false">IF(H56,H56*20+100,0)</f>
        <v>0</v>
      </c>
      <c r="J56" s="49"/>
      <c r="K56" s="49" t="n">
        <f aca="false">IF(J56,J56*20+100,0)</f>
        <v>0</v>
      </c>
      <c r="L56" s="49"/>
      <c r="M56" s="49" t="n">
        <f aca="false">IF(L56,L56*20+100,0)</f>
        <v>0</v>
      </c>
      <c r="N56" s="49"/>
      <c r="O56" s="49" t="n">
        <f aca="false">IF(N56,N56*20+100,0)</f>
        <v>0</v>
      </c>
      <c r="P56" s="49"/>
      <c r="Q56" s="50" t="n">
        <f aca="false">IF(P56,P56*20+100,0)</f>
        <v>0</v>
      </c>
      <c r="R56" s="49"/>
      <c r="S56" s="51" t="n">
        <f aca="false">IF(R56,R56*20+100,0)</f>
        <v>0</v>
      </c>
    </row>
    <row r="57" customFormat="false" ht="15" hidden="false" customHeight="false" outlineLevel="0" collapsed="false">
      <c r="A57" s="55" t="n">
        <v>8</v>
      </c>
      <c r="B57" s="49"/>
      <c r="C57" s="49" t="n">
        <f aca="false">IF(B57,B57*20+100,0)</f>
        <v>0</v>
      </c>
      <c r="D57" s="49"/>
      <c r="E57" s="49" t="n">
        <f aca="false">IF(D57,D57*20+100,0)</f>
        <v>0</v>
      </c>
      <c r="F57" s="49"/>
      <c r="G57" s="49" t="n">
        <f aca="false">IF(F57,F57*20+100,0)</f>
        <v>0</v>
      </c>
      <c r="H57" s="49"/>
      <c r="I57" s="49" t="n">
        <f aca="false">IF(H57,H57*20+100,0)</f>
        <v>0</v>
      </c>
      <c r="J57" s="49"/>
      <c r="K57" s="49" t="n">
        <f aca="false">IF(J57,J57*20+100,0)</f>
        <v>0</v>
      </c>
      <c r="L57" s="49"/>
      <c r="M57" s="49" t="n">
        <f aca="false">IF(L57,L57*20+100,0)</f>
        <v>0</v>
      </c>
      <c r="N57" s="49"/>
      <c r="O57" s="49" t="n">
        <f aca="false">IF(N57,N57*20+100,0)</f>
        <v>0</v>
      </c>
      <c r="P57" s="49"/>
      <c r="Q57" s="50" t="n">
        <f aca="false">IF(P57,P57*20+100,0)</f>
        <v>0</v>
      </c>
      <c r="R57" s="49"/>
      <c r="S57" s="51" t="n">
        <f aca="false">IF(R57,R57*20+100,0)</f>
        <v>0</v>
      </c>
    </row>
    <row r="58" customFormat="false" ht="15" hidden="false" customHeight="false" outlineLevel="0" collapsed="false">
      <c r="A58" s="55" t="n">
        <v>9</v>
      </c>
      <c r="B58" s="49"/>
      <c r="C58" s="49" t="n">
        <f aca="false">IF(B58,B58*20+100,0)</f>
        <v>0</v>
      </c>
      <c r="D58" s="49"/>
      <c r="E58" s="49" t="n">
        <f aca="false">IF(D58,D58*20+100,0)</f>
        <v>0</v>
      </c>
      <c r="F58" s="49"/>
      <c r="G58" s="49" t="n">
        <f aca="false">IF(F58,F58*20+100,0)</f>
        <v>0</v>
      </c>
      <c r="H58" s="49"/>
      <c r="I58" s="49" t="n">
        <f aca="false">IF(H58,H58*20+100,0)</f>
        <v>0</v>
      </c>
      <c r="J58" s="49"/>
      <c r="K58" s="49" t="n">
        <f aca="false">IF(J58,J58*20+100,0)</f>
        <v>0</v>
      </c>
      <c r="L58" s="49"/>
      <c r="M58" s="49" t="n">
        <f aca="false">IF(L58,L58*20+100,0)</f>
        <v>0</v>
      </c>
      <c r="N58" s="49"/>
      <c r="O58" s="49" t="n">
        <f aca="false">IF(N58,N58*20+100,0)</f>
        <v>0</v>
      </c>
      <c r="P58" s="49"/>
      <c r="Q58" s="50" t="n">
        <f aca="false">IF(P58,P58*20+100,0)</f>
        <v>0</v>
      </c>
      <c r="R58" s="49"/>
      <c r="S58" s="51" t="n">
        <f aca="false">IF(R58,R58*20+100,0)</f>
        <v>0</v>
      </c>
    </row>
    <row r="59" customFormat="false" ht="15" hidden="false" customHeight="false" outlineLevel="0" collapsed="false">
      <c r="A59" s="55" t="n">
        <v>10</v>
      </c>
      <c r="B59" s="49"/>
      <c r="C59" s="49" t="n">
        <f aca="false">IF(B59,B59*20+100,0)</f>
        <v>0</v>
      </c>
      <c r="D59" s="49"/>
      <c r="E59" s="49" t="n">
        <f aca="false">IF(D59,D59*20+100,0)</f>
        <v>0</v>
      </c>
      <c r="F59" s="49"/>
      <c r="G59" s="49" t="n">
        <f aca="false">IF(F59,F59*20+100,0)</f>
        <v>0</v>
      </c>
      <c r="H59" s="49"/>
      <c r="I59" s="49" t="n">
        <f aca="false">IF(H59,H59*20+100,0)</f>
        <v>0</v>
      </c>
      <c r="J59" s="49"/>
      <c r="K59" s="49" t="n">
        <f aca="false">IF(J59,J59*20+100,0)</f>
        <v>0</v>
      </c>
      <c r="L59" s="49"/>
      <c r="M59" s="49" t="n">
        <f aca="false">IF(L59,L59*20+100,0)</f>
        <v>0</v>
      </c>
      <c r="N59" s="49"/>
      <c r="O59" s="49" t="n">
        <f aca="false">IF(N59,N59*20+100,0)</f>
        <v>0</v>
      </c>
      <c r="P59" s="49"/>
      <c r="Q59" s="50" t="n">
        <f aca="false">IF(P59,P59*20+100,0)</f>
        <v>0</v>
      </c>
      <c r="R59" s="49"/>
      <c r="S59" s="51" t="n">
        <f aca="false">IF(R59,R59*20+100,0)</f>
        <v>0</v>
      </c>
    </row>
    <row r="60" customFormat="false" ht="15" hidden="false" customHeight="false" outlineLevel="0" collapsed="false">
      <c r="A60" s="55" t="n">
        <v>11</v>
      </c>
      <c r="B60" s="49"/>
      <c r="C60" s="49" t="n">
        <f aca="false">IF(B60,B60*20+100,0)</f>
        <v>0</v>
      </c>
      <c r="D60" s="49"/>
      <c r="E60" s="49" t="n">
        <f aca="false">IF(D60,D60*20+100,0)</f>
        <v>0</v>
      </c>
      <c r="F60" s="49"/>
      <c r="G60" s="49" t="n">
        <f aca="false">IF(F60,F60*20+100,0)</f>
        <v>0</v>
      </c>
      <c r="H60" s="49"/>
      <c r="I60" s="49" t="n">
        <f aca="false">IF(H60,H60*20+100,0)</f>
        <v>0</v>
      </c>
      <c r="J60" s="49"/>
      <c r="K60" s="49" t="n">
        <f aca="false">IF(J60,J60*20+100,0)</f>
        <v>0</v>
      </c>
      <c r="L60" s="49"/>
      <c r="M60" s="49" t="n">
        <f aca="false">IF(L60,L60*20+100,0)</f>
        <v>0</v>
      </c>
      <c r="N60" s="49"/>
      <c r="O60" s="49" t="n">
        <f aca="false">IF(N60,N60*20+100,0)</f>
        <v>0</v>
      </c>
      <c r="P60" s="49"/>
      <c r="Q60" s="50" t="n">
        <f aca="false">IF(P60,P60*20+100,0)</f>
        <v>0</v>
      </c>
      <c r="R60" s="49"/>
      <c r="S60" s="51" t="n">
        <f aca="false">IF(R60,R60*20+100,0)</f>
        <v>0</v>
      </c>
    </row>
    <row r="61" customFormat="false" ht="15" hidden="false" customHeight="false" outlineLevel="0" collapsed="false">
      <c r="A61" s="55" t="n">
        <v>12</v>
      </c>
      <c r="B61" s="49"/>
      <c r="C61" s="49" t="n">
        <f aca="false">IF(B61,B61*20+100,0)</f>
        <v>0</v>
      </c>
      <c r="D61" s="49"/>
      <c r="E61" s="49" t="n">
        <f aca="false">IF(D61,D61*20+100,0)</f>
        <v>0</v>
      </c>
      <c r="F61" s="49"/>
      <c r="G61" s="49" t="n">
        <f aca="false">IF(F61,F61*20+100,0)</f>
        <v>0</v>
      </c>
      <c r="H61" s="49"/>
      <c r="I61" s="49" t="n">
        <f aca="false">IF(H61,H61*20+100,0)</f>
        <v>0</v>
      </c>
      <c r="J61" s="49"/>
      <c r="K61" s="49" t="n">
        <f aca="false">IF(J61,J61*20+100,0)</f>
        <v>0</v>
      </c>
      <c r="L61" s="49"/>
      <c r="M61" s="49" t="n">
        <f aca="false">IF(L61,L61*20+100,0)</f>
        <v>0</v>
      </c>
      <c r="N61" s="49"/>
      <c r="O61" s="49" t="n">
        <f aca="false">IF(N61,N61*20+100,0)</f>
        <v>0</v>
      </c>
      <c r="P61" s="49"/>
      <c r="Q61" s="50" t="n">
        <f aca="false">IF(P61,P61*20+100,0)</f>
        <v>0</v>
      </c>
      <c r="R61" s="49"/>
      <c r="S61" s="51" t="n">
        <f aca="false">IF(R61,R61*20+100,0)</f>
        <v>0</v>
      </c>
    </row>
    <row r="62" customFormat="false" ht="15" hidden="false" customHeight="false" outlineLevel="0" collapsed="false">
      <c r="A62" s="55" t="n">
        <v>13</v>
      </c>
      <c r="B62" s="49"/>
      <c r="C62" s="49" t="n">
        <f aca="false">IF(B62,B62*20+100,0)</f>
        <v>0</v>
      </c>
      <c r="D62" s="49"/>
      <c r="E62" s="49" t="n">
        <f aca="false">IF(D62,D62*20+100,0)</f>
        <v>0</v>
      </c>
      <c r="F62" s="49"/>
      <c r="G62" s="49" t="n">
        <f aca="false">IF(F62,F62*20+100,0)</f>
        <v>0</v>
      </c>
      <c r="H62" s="49"/>
      <c r="I62" s="49" t="n">
        <f aca="false">IF(H62,H62*20+100,0)</f>
        <v>0</v>
      </c>
      <c r="J62" s="49"/>
      <c r="K62" s="49" t="n">
        <f aca="false">IF(J62,J62*20+100,0)</f>
        <v>0</v>
      </c>
      <c r="L62" s="49"/>
      <c r="M62" s="49" t="n">
        <f aca="false">IF(L62,L62*20+100,0)</f>
        <v>0</v>
      </c>
      <c r="N62" s="49"/>
      <c r="O62" s="49" t="n">
        <f aca="false">IF(N62,N62*20+100,0)</f>
        <v>0</v>
      </c>
      <c r="P62" s="49"/>
      <c r="Q62" s="50" t="n">
        <f aca="false">IF(P62,P62*20+100,0)</f>
        <v>0</v>
      </c>
      <c r="R62" s="49"/>
      <c r="S62" s="51" t="n">
        <f aca="false">IF(R62,R62*20+100,0)</f>
        <v>0</v>
      </c>
    </row>
    <row r="63" customFormat="false" ht="15" hidden="false" customHeight="false" outlineLevel="0" collapsed="false">
      <c r="A63" s="55" t="n">
        <v>14</v>
      </c>
      <c r="B63" s="49"/>
      <c r="C63" s="49" t="n">
        <f aca="false">IF(B63,B63*20+100,0)</f>
        <v>0</v>
      </c>
      <c r="D63" s="49"/>
      <c r="E63" s="49" t="n">
        <f aca="false">IF(D63,D63*20+100,0)</f>
        <v>0</v>
      </c>
      <c r="F63" s="49"/>
      <c r="G63" s="49" t="n">
        <f aca="false">IF(F63,F63*20+100,0)</f>
        <v>0</v>
      </c>
      <c r="H63" s="49"/>
      <c r="I63" s="49" t="n">
        <f aca="false">IF(H63,H63*20+100,0)</f>
        <v>0</v>
      </c>
      <c r="J63" s="49"/>
      <c r="K63" s="49" t="n">
        <f aca="false">IF(J63,J63*20+100,0)</f>
        <v>0</v>
      </c>
      <c r="L63" s="49"/>
      <c r="M63" s="49" t="n">
        <f aca="false">IF(L63,L63*20+100,0)</f>
        <v>0</v>
      </c>
      <c r="N63" s="49"/>
      <c r="O63" s="49" t="n">
        <f aca="false">IF(N63,N63*20+100,0)</f>
        <v>0</v>
      </c>
      <c r="P63" s="49"/>
      <c r="Q63" s="50" t="n">
        <f aca="false">IF(P63,P63*20+100,0)</f>
        <v>0</v>
      </c>
      <c r="R63" s="49"/>
      <c r="S63" s="51" t="n">
        <f aca="false">IF(R63,R63*20+100,0)</f>
        <v>0</v>
      </c>
    </row>
    <row r="64" customFormat="false" ht="15" hidden="false" customHeight="false" outlineLevel="0" collapsed="false">
      <c r="A64" s="55" t="n">
        <v>15</v>
      </c>
      <c r="B64" s="49"/>
      <c r="C64" s="49" t="n">
        <f aca="false">IF(B64,B64*20+100,0)</f>
        <v>0</v>
      </c>
      <c r="D64" s="49"/>
      <c r="E64" s="49" t="n">
        <f aca="false">IF(D64,D64*20+100,0)</f>
        <v>0</v>
      </c>
      <c r="F64" s="49"/>
      <c r="G64" s="49" t="n">
        <f aca="false">IF(F64,F64*20+100,0)</f>
        <v>0</v>
      </c>
      <c r="H64" s="49"/>
      <c r="I64" s="49" t="n">
        <f aca="false">IF(H64,H64*20+100,0)</f>
        <v>0</v>
      </c>
      <c r="J64" s="49"/>
      <c r="K64" s="49" t="n">
        <f aca="false">IF(J64,J64*20+100,0)</f>
        <v>0</v>
      </c>
      <c r="L64" s="49"/>
      <c r="M64" s="49" t="n">
        <f aca="false">IF(L64,L64*20+100,0)</f>
        <v>0</v>
      </c>
      <c r="N64" s="49"/>
      <c r="O64" s="49" t="n">
        <f aca="false">IF(N64,N64*20+100,0)</f>
        <v>0</v>
      </c>
      <c r="P64" s="49"/>
      <c r="Q64" s="50" t="n">
        <f aca="false">IF(P64,P64*20+100,0)</f>
        <v>0</v>
      </c>
      <c r="R64" s="49"/>
      <c r="S64" s="51" t="n">
        <f aca="false">IF(R64,R64*20+100,0)</f>
        <v>0</v>
      </c>
    </row>
    <row r="65" customFormat="false" ht="15" hidden="false" customHeight="false" outlineLevel="0" collapsed="false">
      <c r="A65" s="55" t="n">
        <v>16</v>
      </c>
      <c r="B65" s="49"/>
      <c r="C65" s="49" t="n">
        <f aca="false">IF(B65,B65*20+100,0)</f>
        <v>0</v>
      </c>
      <c r="D65" s="49"/>
      <c r="E65" s="49" t="n">
        <f aca="false">IF(D65,D65*20+100,0)</f>
        <v>0</v>
      </c>
      <c r="F65" s="49"/>
      <c r="G65" s="49" t="n">
        <f aca="false">IF(F65,F65*20+100,0)</f>
        <v>0</v>
      </c>
      <c r="H65" s="49"/>
      <c r="I65" s="49" t="n">
        <f aca="false">IF(H65,H65*20+100,0)</f>
        <v>0</v>
      </c>
      <c r="J65" s="49"/>
      <c r="K65" s="49" t="n">
        <f aca="false">IF(J65,J65*20+100,0)</f>
        <v>0</v>
      </c>
      <c r="L65" s="49"/>
      <c r="M65" s="49" t="n">
        <f aca="false">IF(L65,L65*20+100,0)</f>
        <v>0</v>
      </c>
      <c r="N65" s="49"/>
      <c r="O65" s="49" t="n">
        <f aca="false">IF(N65,N65*20+100,0)</f>
        <v>0</v>
      </c>
      <c r="P65" s="49"/>
      <c r="Q65" s="50" t="n">
        <f aca="false">IF(P65,P65*20+100,0)</f>
        <v>0</v>
      </c>
      <c r="R65" s="49"/>
      <c r="S65" s="51" t="n">
        <f aca="false">IF(R65,R65*20+100,0)</f>
        <v>0</v>
      </c>
    </row>
    <row r="66" customFormat="false" ht="15" hidden="false" customHeight="false" outlineLevel="0" collapsed="false">
      <c r="A66" s="55" t="n">
        <v>17</v>
      </c>
      <c r="B66" s="49"/>
      <c r="C66" s="49" t="n">
        <f aca="false">IF(B66,B66*20+100,0)</f>
        <v>0</v>
      </c>
      <c r="D66" s="49"/>
      <c r="E66" s="49" t="n">
        <f aca="false">IF(D66,D66*20+100,0)</f>
        <v>0</v>
      </c>
      <c r="F66" s="49"/>
      <c r="G66" s="49" t="n">
        <f aca="false">IF(F66,F66*20+100,0)</f>
        <v>0</v>
      </c>
      <c r="H66" s="49"/>
      <c r="I66" s="49" t="n">
        <f aca="false">IF(H66,H66*20+100,0)</f>
        <v>0</v>
      </c>
      <c r="J66" s="49"/>
      <c r="K66" s="49" t="n">
        <f aca="false">IF(J66,J66*20+100,0)</f>
        <v>0</v>
      </c>
      <c r="L66" s="49"/>
      <c r="M66" s="49" t="n">
        <f aca="false">IF(L66,L66*20+100,0)</f>
        <v>0</v>
      </c>
      <c r="N66" s="49"/>
      <c r="O66" s="49" t="n">
        <f aca="false">IF(N66,N66*20+100,0)</f>
        <v>0</v>
      </c>
      <c r="P66" s="49"/>
      <c r="Q66" s="50" t="n">
        <f aca="false">IF(P66,P66*20+100,0)</f>
        <v>0</v>
      </c>
      <c r="R66" s="49"/>
      <c r="S66" s="51" t="n">
        <f aca="false">IF(R66,R66*20+100,0)</f>
        <v>0</v>
      </c>
    </row>
    <row r="67" customFormat="false" ht="15" hidden="false" customHeight="false" outlineLevel="0" collapsed="false">
      <c r="A67" s="55" t="n">
        <v>18</v>
      </c>
      <c r="B67" s="49"/>
      <c r="C67" s="49" t="n">
        <f aca="false">IF(B67,B67*20+100,0)</f>
        <v>0</v>
      </c>
      <c r="D67" s="49"/>
      <c r="E67" s="49" t="n">
        <f aca="false">IF(D67,D67*20+100,0)</f>
        <v>0</v>
      </c>
      <c r="F67" s="49"/>
      <c r="G67" s="49" t="n">
        <f aca="false">IF(F67,F67*20+100,0)</f>
        <v>0</v>
      </c>
      <c r="H67" s="49"/>
      <c r="I67" s="49" t="n">
        <f aca="false">IF(H67,H67*20+100,0)</f>
        <v>0</v>
      </c>
      <c r="J67" s="49"/>
      <c r="K67" s="49" t="n">
        <f aca="false">IF(J67,J67*20+100,0)</f>
        <v>0</v>
      </c>
      <c r="L67" s="49"/>
      <c r="M67" s="49" t="n">
        <f aca="false">IF(L67,L67*20+100,0)</f>
        <v>0</v>
      </c>
      <c r="N67" s="49"/>
      <c r="O67" s="49" t="n">
        <f aca="false">IF(N67,N67*20+100,0)</f>
        <v>0</v>
      </c>
      <c r="P67" s="49"/>
      <c r="Q67" s="50" t="n">
        <f aca="false">IF(P67,P67*20+100,0)</f>
        <v>0</v>
      </c>
      <c r="R67" s="49"/>
      <c r="S67" s="51" t="n">
        <f aca="false">IF(R67,R67*20+100,0)</f>
        <v>0</v>
      </c>
    </row>
    <row r="68" customFormat="false" ht="15" hidden="false" customHeight="false" outlineLevel="0" collapsed="false">
      <c r="A68" s="55" t="n">
        <v>19</v>
      </c>
      <c r="B68" s="49"/>
      <c r="C68" s="49" t="n">
        <f aca="false">IF(B68,B68*20+100,0)</f>
        <v>0</v>
      </c>
      <c r="D68" s="49"/>
      <c r="E68" s="49" t="n">
        <f aca="false">IF(D68,D68*20+100,0)</f>
        <v>0</v>
      </c>
      <c r="F68" s="49"/>
      <c r="G68" s="49" t="n">
        <f aca="false">IF(F68,F68*20+100,0)</f>
        <v>0</v>
      </c>
      <c r="H68" s="49"/>
      <c r="I68" s="49" t="n">
        <f aca="false">IF(H68,H68*20+100,0)</f>
        <v>0</v>
      </c>
      <c r="J68" s="49"/>
      <c r="K68" s="49" t="n">
        <f aca="false">IF(J68,J68*20+100,0)</f>
        <v>0</v>
      </c>
      <c r="L68" s="49"/>
      <c r="M68" s="49" t="n">
        <f aca="false">IF(L68,L68*20+100,0)</f>
        <v>0</v>
      </c>
      <c r="N68" s="49"/>
      <c r="O68" s="49" t="n">
        <f aca="false">IF(N68,N68*20+100,0)</f>
        <v>0</v>
      </c>
      <c r="P68" s="49"/>
      <c r="Q68" s="50" t="n">
        <f aca="false">IF(P68,P68*20+100,0)</f>
        <v>0</v>
      </c>
      <c r="R68" s="49"/>
      <c r="S68" s="51" t="n">
        <f aca="false">IF(R68,R68*20+100,0)</f>
        <v>0</v>
      </c>
    </row>
    <row r="69" customFormat="false" ht="15" hidden="false" customHeight="false" outlineLevel="0" collapsed="false">
      <c r="A69" s="55" t="n">
        <v>20</v>
      </c>
      <c r="B69" s="49"/>
      <c r="C69" s="49" t="n">
        <f aca="false">IF(B69,B69*20+100,0)</f>
        <v>0</v>
      </c>
      <c r="D69" s="49"/>
      <c r="E69" s="49" t="n">
        <f aca="false">IF(D69,D69*20+100,0)</f>
        <v>0</v>
      </c>
      <c r="F69" s="49"/>
      <c r="G69" s="49" t="n">
        <f aca="false">IF(F69,F69*20+100,0)</f>
        <v>0</v>
      </c>
      <c r="H69" s="49"/>
      <c r="I69" s="49" t="n">
        <f aca="false">IF(H69,H69*20+100,0)</f>
        <v>0</v>
      </c>
      <c r="J69" s="49"/>
      <c r="K69" s="49" t="n">
        <f aca="false">IF(J69,J69*20+100,0)</f>
        <v>0</v>
      </c>
      <c r="L69" s="49"/>
      <c r="M69" s="49" t="n">
        <f aca="false">IF(L69,L69*20+100,0)</f>
        <v>0</v>
      </c>
      <c r="N69" s="49"/>
      <c r="O69" s="49" t="n">
        <f aca="false">IF(N69,N69*20+100,0)</f>
        <v>0</v>
      </c>
      <c r="P69" s="49"/>
      <c r="Q69" s="50" t="n">
        <f aca="false">IF(P69,P69*20+100,0)</f>
        <v>0</v>
      </c>
      <c r="R69" s="49"/>
      <c r="S69" s="51" t="n">
        <f aca="false">IF(R69,R69*20+100,0)</f>
        <v>0</v>
      </c>
    </row>
    <row r="70" customFormat="false" ht="15" hidden="false" customHeight="false" outlineLevel="0" collapsed="false">
      <c r="A70" s="55" t="n">
        <v>21</v>
      </c>
      <c r="B70" s="49"/>
      <c r="C70" s="49" t="n">
        <f aca="false">IF(B70,B70*20+100,0)</f>
        <v>0</v>
      </c>
      <c r="D70" s="49"/>
      <c r="E70" s="49" t="n">
        <f aca="false">IF(D70,D70*20+100,0)</f>
        <v>0</v>
      </c>
      <c r="F70" s="49"/>
      <c r="G70" s="49" t="n">
        <f aca="false">IF(F70,F70*20+100,0)</f>
        <v>0</v>
      </c>
      <c r="H70" s="49"/>
      <c r="I70" s="49" t="n">
        <f aca="false">IF(H70,H70*20+100,0)</f>
        <v>0</v>
      </c>
      <c r="J70" s="49"/>
      <c r="K70" s="49" t="n">
        <f aca="false">IF(J70,J70*20+100,0)</f>
        <v>0</v>
      </c>
      <c r="L70" s="49"/>
      <c r="M70" s="49" t="n">
        <f aca="false">IF(L70,L70*20+100,0)</f>
        <v>0</v>
      </c>
      <c r="N70" s="49"/>
      <c r="O70" s="49" t="n">
        <f aca="false">IF(N70,N70*20+100,0)</f>
        <v>0</v>
      </c>
      <c r="P70" s="49"/>
      <c r="Q70" s="50" t="n">
        <f aca="false">IF(P70,P70*20+100,0)</f>
        <v>0</v>
      </c>
      <c r="R70" s="49"/>
      <c r="S70" s="51" t="n">
        <f aca="false">IF(R70,R70*20+100,0)</f>
        <v>0</v>
      </c>
    </row>
    <row r="71" customFormat="false" ht="15" hidden="false" customHeight="false" outlineLevel="0" collapsed="false">
      <c r="A71" s="55" t="n">
        <v>22</v>
      </c>
      <c r="B71" s="49"/>
      <c r="C71" s="49" t="n">
        <f aca="false">IF(B71,B71*20+100,0)</f>
        <v>0</v>
      </c>
      <c r="D71" s="49"/>
      <c r="E71" s="49" t="n">
        <f aca="false">IF(D71,D71*20+100,0)</f>
        <v>0</v>
      </c>
      <c r="F71" s="49"/>
      <c r="G71" s="49" t="n">
        <f aca="false">IF(F71,F71*20+100,0)</f>
        <v>0</v>
      </c>
      <c r="H71" s="49"/>
      <c r="I71" s="49" t="n">
        <f aca="false">IF(H71,H71*20+100,0)</f>
        <v>0</v>
      </c>
      <c r="J71" s="49"/>
      <c r="K71" s="49" t="n">
        <f aca="false">IF(J71,J71*20+100,0)</f>
        <v>0</v>
      </c>
      <c r="L71" s="49"/>
      <c r="M71" s="49" t="n">
        <f aca="false">IF(L71,L71*20+100,0)</f>
        <v>0</v>
      </c>
      <c r="N71" s="49"/>
      <c r="O71" s="49" t="n">
        <f aca="false">IF(N71,N71*20+100,0)</f>
        <v>0</v>
      </c>
      <c r="P71" s="49"/>
      <c r="Q71" s="50" t="n">
        <f aca="false">IF(P71,P71*20+100,0)</f>
        <v>0</v>
      </c>
      <c r="R71" s="49"/>
      <c r="S71" s="51" t="n">
        <f aca="false">IF(R71,R71*20+100,0)</f>
        <v>0</v>
      </c>
    </row>
    <row r="72" customFormat="false" ht="15" hidden="false" customHeight="false" outlineLevel="0" collapsed="false">
      <c r="A72" s="55" t="n">
        <v>23</v>
      </c>
      <c r="B72" s="49"/>
      <c r="C72" s="49" t="n">
        <f aca="false">IF(B72,B72*20+100,0)</f>
        <v>0</v>
      </c>
      <c r="D72" s="49"/>
      <c r="E72" s="49" t="n">
        <f aca="false">IF(D72,D72*20+100,0)</f>
        <v>0</v>
      </c>
      <c r="F72" s="49"/>
      <c r="G72" s="49" t="n">
        <f aca="false">IF(F72,F72*20+100,0)</f>
        <v>0</v>
      </c>
      <c r="H72" s="49"/>
      <c r="I72" s="49" t="n">
        <f aca="false">IF(H72,H72*20+100,0)</f>
        <v>0</v>
      </c>
      <c r="J72" s="49"/>
      <c r="K72" s="49" t="n">
        <f aca="false">IF(J72,J72*20+100,0)</f>
        <v>0</v>
      </c>
      <c r="L72" s="49"/>
      <c r="M72" s="49" t="n">
        <f aca="false">IF(L72,L72*20+100,0)</f>
        <v>0</v>
      </c>
      <c r="N72" s="49"/>
      <c r="O72" s="49" t="n">
        <f aca="false">IF(N72,N72*20+100,0)</f>
        <v>0</v>
      </c>
      <c r="P72" s="49"/>
      <c r="Q72" s="50" t="n">
        <f aca="false">IF(P72,P72*20+100,0)</f>
        <v>0</v>
      </c>
      <c r="R72" s="49"/>
      <c r="S72" s="51" t="n">
        <f aca="false">IF(R72,R72*20+100,0)</f>
        <v>0</v>
      </c>
    </row>
    <row r="73" customFormat="false" ht="15" hidden="false" customHeight="false" outlineLevel="0" collapsed="false">
      <c r="A73" s="55" t="n">
        <v>24</v>
      </c>
      <c r="B73" s="49"/>
      <c r="C73" s="49" t="n">
        <f aca="false">IF(B73,B73*20+100,0)</f>
        <v>0</v>
      </c>
      <c r="D73" s="49"/>
      <c r="E73" s="49" t="n">
        <f aca="false">IF(D73,D73*20+100,0)</f>
        <v>0</v>
      </c>
      <c r="F73" s="49"/>
      <c r="G73" s="49" t="n">
        <f aca="false">IF(F73,F73*20+100,0)</f>
        <v>0</v>
      </c>
      <c r="H73" s="49"/>
      <c r="I73" s="49" t="n">
        <f aca="false">IF(H73,H73*20+100,0)</f>
        <v>0</v>
      </c>
      <c r="J73" s="49"/>
      <c r="K73" s="49" t="n">
        <f aca="false">IF(J73,J73*20+100,0)</f>
        <v>0</v>
      </c>
      <c r="L73" s="49"/>
      <c r="M73" s="49" t="n">
        <f aca="false">IF(L73,L73*20+100,0)</f>
        <v>0</v>
      </c>
      <c r="N73" s="49"/>
      <c r="O73" s="49" t="n">
        <f aca="false">IF(N73,N73*20+100,0)</f>
        <v>0</v>
      </c>
      <c r="P73" s="49"/>
      <c r="Q73" s="50" t="n">
        <f aca="false">IF(P73,P73*20+100,0)</f>
        <v>0</v>
      </c>
      <c r="R73" s="49"/>
      <c r="S73" s="51" t="n">
        <f aca="false">IF(R73,R73*20+100,0)</f>
        <v>0</v>
      </c>
    </row>
    <row r="74" customFormat="false" ht="15" hidden="false" customHeight="false" outlineLevel="0" collapsed="false">
      <c r="A74" s="55" t="n">
        <v>25</v>
      </c>
      <c r="B74" s="49"/>
      <c r="C74" s="49" t="n">
        <f aca="false">IF(B74,B74*20+100,0)</f>
        <v>0</v>
      </c>
      <c r="D74" s="49"/>
      <c r="E74" s="49" t="n">
        <f aca="false">IF(D74,D74*20+100,0)</f>
        <v>0</v>
      </c>
      <c r="F74" s="49"/>
      <c r="G74" s="49" t="n">
        <f aca="false">IF(F74,F74*20+100,0)</f>
        <v>0</v>
      </c>
      <c r="H74" s="49"/>
      <c r="I74" s="49" t="n">
        <f aca="false">IF(H74,H74*20+100,0)</f>
        <v>0</v>
      </c>
      <c r="J74" s="49"/>
      <c r="K74" s="49" t="n">
        <f aca="false">IF(J74,J74*20+100,0)</f>
        <v>0</v>
      </c>
      <c r="L74" s="49"/>
      <c r="M74" s="49" t="n">
        <f aca="false">IF(L74,L74*20+100,0)</f>
        <v>0</v>
      </c>
      <c r="N74" s="49"/>
      <c r="O74" s="49" t="n">
        <f aca="false">IF(N74,N74*20+100,0)</f>
        <v>0</v>
      </c>
      <c r="P74" s="49"/>
      <c r="Q74" s="50" t="n">
        <f aca="false">IF(P74,P74*20+100,0)</f>
        <v>0</v>
      </c>
      <c r="R74" s="49"/>
      <c r="S74" s="51" t="n">
        <f aca="false">IF(R74,R74*20+100,0)</f>
        <v>0</v>
      </c>
    </row>
    <row r="75" customFormat="false" ht="15" hidden="false" customHeight="false" outlineLevel="0" collapsed="false">
      <c r="A75" s="55" t="n">
        <v>26</v>
      </c>
      <c r="B75" s="49"/>
      <c r="C75" s="49" t="n">
        <f aca="false">IF(B75,B75*20+100,0)</f>
        <v>0</v>
      </c>
      <c r="D75" s="49"/>
      <c r="E75" s="49" t="n">
        <f aca="false">IF(D75,D75*20+100,0)</f>
        <v>0</v>
      </c>
      <c r="F75" s="49"/>
      <c r="G75" s="49" t="n">
        <f aca="false">IF(F75,F75*20+100,0)</f>
        <v>0</v>
      </c>
      <c r="H75" s="49"/>
      <c r="I75" s="49" t="n">
        <f aca="false">IF(H75,H75*20+100,0)</f>
        <v>0</v>
      </c>
      <c r="J75" s="49"/>
      <c r="K75" s="49" t="n">
        <f aca="false">IF(J75,J75*20+100,0)</f>
        <v>0</v>
      </c>
      <c r="L75" s="49"/>
      <c r="M75" s="49" t="n">
        <f aca="false">IF(L75,L75*20+100,0)</f>
        <v>0</v>
      </c>
      <c r="N75" s="49"/>
      <c r="O75" s="49" t="n">
        <f aca="false">IF(N75,N75*20+100,0)</f>
        <v>0</v>
      </c>
      <c r="P75" s="49"/>
      <c r="Q75" s="50" t="n">
        <f aca="false">IF(P75,P75*20+100,0)</f>
        <v>0</v>
      </c>
      <c r="R75" s="49"/>
      <c r="S75" s="51" t="n">
        <f aca="false">IF(R75,R75*20+100,0)</f>
        <v>0</v>
      </c>
    </row>
    <row r="76" customFormat="false" ht="15" hidden="false" customHeight="false" outlineLevel="0" collapsed="false">
      <c r="A76" s="55" t="n">
        <v>27</v>
      </c>
      <c r="B76" s="49"/>
      <c r="C76" s="49" t="n">
        <f aca="false">IF(B76,B76*20+100,0)</f>
        <v>0</v>
      </c>
      <c r="D76" s="49"/>
      <c r="E76" s="49" t="n">
        <f aca="false">IF(D76,D76*20+100,0)</f>
        <v>0</v>
      </c>
      <c r="F76" s="49"/>
      <c r="G76" s="49" t="n">
        <f aca="false">IF(F76,F76*20+100,0)</f>
        <v>0</v>
      </c>
      <c r="H76" s="49"/>
      <c r="I76" s="49" t="n">
        <f aca="false">IF(H76,H76*20+100,0)</f>
        <v>0</v>
      </c>
      <c r="J76" s="49"/>
      <c r="K76" s="49" t="n">
        <f aca="false">IF(J76,J76*20+100,0)</f>
        <v>0</v>
      </c>
      <c r="L76" s="49"/>
      <c r="M76" s="49" t="n">
        <f aca="false">IF(L76,L76*20+100,0)</f>
        <v>0</v>
      </c>
      <c r="N76" s="49"/>
      <c r="O76" s="49" t="n">
        <f aca="false">IF(N76,N76*20+100,0)</f>
        <v>0</v>
      </c>
      <c r="P76" s="49"/>
      <c r="Q76" s="50" t="n">
        <f aca="false">IF(P76,P76*20+100,0)</f>
        <v>0</v>
      </c>
      <c r="R76" s="49"/>
      <c r="S76" s="51" t="n">
        <f aca="false">IF(R76,R76*20+100,0)</f>
        <v>0</v>
      </c>
    </row>
    <row r="77" customFormat="false" ht="15" hidden="false" customHeight="false" outlineLevel="0" collapsed="false">
      <c r="A77" s="55" t="n">
        <v>28</v>
      </c>
      <c r="B77" s="49"/>
      <c r="C77" s="49" t="n">
        <f aca="false">IF(B77,B77*20+100,0)</f>
        <v>0</v>
      </c>
      <c r="D77" s="49"/>
      <c r="E77" s="49" t="n">
        <f aca="false">IF(D77,D77*20+100,0)</f>
        <v>0</v>
      </c>
      <c r="F77" s="49"/>
      <c r="G77" s="49" t="n">
        <f aca="false">IF(F77,F77*20+100,0)</f>
        <v>0</v>
      </c>
      <c r="H77" s="49"/>
      <c r="I77" s="49" t="n">
        <f aca="false">IF(H77,H77*20+100,0)</f>
        <v>0</v>
      </c>
      <c r="J77" s="49"/>
      <c r="K77" s="49" t="n">
        <f aca="false">IF(J77,J77*20+100,0)</f>
        <v>0</v>
      </c>
      <c r="L77" s="49"/>
      <c r="M77" s="49" t="n">
        <f aca="false">IF(L77,L77*20+100,0)</f>
        <v>0</v>
      </c>
      <c r="N77" s="49"/>
      <c r="O77" s="49" t="n">
        <f aca="false">IF(N77,N77*20+100,0)</f>
        <v>0</v>
      </c>
      <c r="P77" s="49"/>
      <c r="Q77" s="50" t="n">
        <f aca="false">IF(P77,P77*20+100,0)</f>
        <v>0</v>
      </c>
      <c r="R77" s="49"/>
      <c r="S77" s="51" t="n">
        <f aca="false">IF(R77,R77*20+100,0)</f>
        <v>0</v>
      </c>
    </row>
    <row r="78" customFormat="false" ht="15" hidden="false" customHeight="false" outlineLevel="0" collapsed="false">
      <c r="A78" s="55" t="n">
        <v>29</v>
      </c>
      <c r="B78" s="49"/>
      <c r="C78" s="49" t="n">
        <f aca="false">IF(B78,B78*20+100,0)</f>
        <v>0</v>
      </c>
      <c r="D78" s="49"/>
      <c r="E78" s="49" t="n">
        <f aca="false">IF(D78,D78*20+100,0)</f>
        <v>0</v>
      </c>
      <c r="F78" s="49"/>
      <c r="G78" s="49" t="n">
        <f aca="false">IF(F78,F78*20+100,0)</f>
        <v>0</v>
      </c>
      <c r="H78" s="49"/>
      <c r="I78" s="49" t="n">
        <f aca="false">IF(H78,H78*20+100,0)</f>
        <v>0</v>
      </c>
      <c r="J78" s="49"/>
      <c r="K78" s="49" t="n">
        <f aca="false">IF(J78,J78*20+100,0)</f>
        <v>0</v>
      </c>
      <c r="L78" s="49"/>
      <c r="M78" s="49" t="n">
        <f aca="false">IF(L78,L78*20+100,0)</f>
        <v>0</v>
      </c>
      <c r="N78" s="49"/>
      <c r="O78" s="49" t="n">
        <f aca="false">IF(N78,N78*20+100,0)</f>
        <v>0</v>
      </c>
      <c r="P78" s="49"/>
      <c r="Q78" s="50" t="n">
        <f aca="false">IF(P78,P78*20+100,0)</f>
        <v>0</v>
      </c>
      <c r="R78" s="49"/>
      <c r="S78" s="51" t="n">
        <f aca="false">IF(R78,R78*20+100,0)</f>
        <v>0</v>
      </c>
    </row>
    <row r="79" customFormat="false" ht="15" hidden="false" customHeight="false" outlineLevel="0" collapsed="false">
      <c r="A79" s="55" t="n">
        <v>30</v>
      </c>
      <c r="B79" s="49"/>
      <c r="C79" s="49" t="n">
        <f aca="false">IF(B79,B79*20+100,0)</f>
        <v>0</v>
      </c>
      <c r="D79" s="49"/>
      <c r="E79" s="49" t="n">
        <f aca="false">IF(D79,D79*20+100,0)</f>
        <v>0</v>
      </c>
      <c r="F79" s="49"/>
      <c r="G79" s="49" t="n">
        <f aca="false">IF(F79,F79*20+100,0)</f>
        <v>0</v>
      </c>
      <c r="H79" s="49"/>
      <c r="I79" s="49" t="n">
        <f aca="false">IF(H79,H79*20+100,0)</f>
        <v>0</v>
      </c>
      <c r="J79" s="49"/>
      <c r="K79" s="49" t="n">
        <f aca="false">IF(J79,J79*20+100,0)</f>
        <v>0</v>
      </c>
      <c r="L79" s="49"/>
      <c r="M79" s="49" t="n">
        <f aca="false">IF(L79,L79*20+100,0)</f>
        <v>0</v>
      </c>
      <c r="N79" s="49"/>
      <c r="O79" s="49" t="n">
        <f aca="false">IF(N79,N79*20+100,0)</f>
        <v>0</v>
      </c>
      <c r="P79" s="49"/>
      <c r="Q79" s="50" t="n">
        <f aca="false">IF(P79,P79*20+100,0)</f>
        <v>0</v>
      </c>
      <c r="R79" s="49"/>
      <c r="S79" s="51" t="n">
        <f aca="false">IF(R79,R79*20+100,0)</f>
        <v>0</v>
      </c>
    </row>
    <row r="80" customFormat="false" ht="42.75" hidden="false" customHeight="true" outlineLevel="0" collapsed="false">
      <c r="A80" s="69"/>
      <c r="B80" s="57" t="s">
        <v>53</v>
      </c>
      <c r="C80" s="58" t="n">
        <f aca="false">SUM(C50:C79)</f>
        <v>640</v>
      </c>
      <c r="D80" s="57" t="s">
        <v>53</v>
      </c>
      <c r="E80" s="58" t="n">
        <f aca="false">SUM(E50:E79)</f>
        <v>520</v>
      </c>
      <c r="F80" s="57" t="s">
        <v>53</v>
      </c>
      <c r="G80" s="58" t="n">
        <f aca="false">SUM(G50:G79)</f>
        <v>680</v>
      </c>
      <c r="H80" s="57" t="s">
        <v>53</v>
      </c>
      <c r="I80" s="58" t="n">
        <f aca="false">SUM(I50:I79)</f>
        <v>640</v>
      </c>
      <c r="J80" s="57" t="s">
        <v>53</v>
      </c>
      <c r="K80" s="58" t="n">
        <f aca="false">SUM(K50:K79)</f>
        <v>640</v>
      </c>
      <c r="L80" s="57" t="s">
        <v>53</v>
      </c>
      <c r="M80" s="58" t="n">
        <f aca="false">SUM(M50:M79)</f>
        <v>640</v>
      </c>
      <c r="N80" s="57" t="s">
        <v>53</v>
      </c>
      <c r="O80" s="58" t="n">
        <f aca="false">SUM(O50:O79)</f>
        <v>2640</v>
      </c>
      <c r="P80" s="57" t="s">
        <v>53</v>
      </c>
      <c r="Q80" s="58" t="n">
        <f aca="false">SUM(Q50:Q79)</f>
        <v>540</v>
      </c>
      <c r="R80" s="57" t="s">
        <v>53</v>
      </c>
      <c r="S80" s="51" t="n">
        <f aca="false">SUM(S50:S79)</f>
        <v>0</v>
      </c>
    </row>
    <row r="81" customFormat="false" ht="44.25" hidden="false" customHeight="true" outlineLevel="0" collapsed="false">
      <c r="A81" s="70"/>
      <c r="B81" s="59" t="s">
        <v>54</v>
      </c>
      <c r="C81" s="58" t="n">
        <f aca="false">IF(C80=0,9,RANK(C80,$C$80:$S$80,0))</f>
        <v>3</v>
      </c>
      <c r="D81" s="59" t="s">
        <v>54</v>
      </c>
      <c r="E81" s="58" t="n">
        <f aca="false">IF(E80=0,9,RANK(E80,$C$80:$S$80,0))</f>
        <v>8</v>
      </c>
      <c r="F81" s="59" t="s">
        <v>54</v>
      </c>
      <c r="G81" s="58" t="n">
        <f aca="false">IF(G80=0,9,RANK(G80,$C$80:$S$80,0))</f>
        <v>2</v>
      </c>
      <c r="H81" s="59" t="s">
        <v>54</v>
      </c>
      <c r="I81" s="58" t="n">
        <f aca="false">IF(I80=0,9,RANK(I80,$C$80:$S$80,0))</f>
        <v>3</v>
      </c>
      <c r="J81" s="59" t="s">
        <v>54</v>
      </c>
      <c r="K81" s="58" t="n">
        <f aca="false">IF(K80=0,9,RANK(K80,$C$80:$S$80,0))</f>
        <v>3</v>
      </c>
      <c r="L81" s="59" t="s">
        <v>54</v>
      </c>
      <c r="M81" s="58" t="n">
        <f aca="false">IF(M80=0,9,RANK(M80,$C$80:$S$80,0))</f>
        <v>3</v>
      </c>
      <c r="N81" s="59" t="s">
        <v>54</v>
      </c>
      <c r="O81" s="58" t="n">
        <f aca="false">IF(O80=0,9,RANK(O80,$C$80:$S$80,0))</f>
        <v>1</v>
      </c>
      <c r="P81" s="59" t="s">
        <v>54</v>
      </c>
      <c r="Q81" s="58" t="n">
        <f aca="false">IF(Q80=0,9,RANK(Q80,$C$80:$S$80,0))</f>
        <v>7</v>
      </c>
      <c r="R81" s="57" t="s">
        <v>54</v>
      </c>
      <c r="S81" s="51" t="n">
        <f aca="false">IF(S80=0,9,RANK(S80,$C$80:$S$80,0))</f>
        <v>9</v>
      </c>
    </row>
    <row r="82" customFormat="false" ht="15" hidden="false" customHeight="true" outlineLevel="0" collapsed="false">
      <c r="A82" s="60"/>
      <c r="B82" s="57" t="s">
        <v>55</v>
      </c>
      <c r="C82" s="49" t="n">
        <f aca="false">COUNT(B50:B79)</f>
        <v>1</v>
      </c>
      <c r="D82" s="57" t="s">
        <v>55</v>
      </c>
      <c r="E82" s="49" t="n">
        <f aca="false">COUNT(D50:D79)</f>
        <v>1</v>
      </c>
      <c r="F82" s="57" t="s">
        <v>55</v>
      </c>
      <c r="G82" s="49" t="n">
        <f aca="false">COUNT(F50:F79)</f>
        <v>1</v>
      </c>
      <c r="H82" s="57" t="s">
        <v>55</v>
      </c>
      <c r="I82" s="49" t="n">
        <f aca="false">COUNT(H50:H79)</f>
        <v>1</v>
      </c>
      <c r="J82" s="57" t="s">
        <v>55</v>
      </c>
      <c r="K82" s="49" t="n">
        <f aca="false">COUNT(J50:J79)</f>
        <v>1</v>
      </c>
      <c r="L82" s="57" t="s">
        <v>55</v>
      </c>
      <c r="M82" s="49" t="n">
        <f aca="false">COUNT(L50:L79)</f>
        <v>1</v>
      </c>
      <c r="N82" s="57" t="s">
        <v>55</v>
      </c>
      <c r="O82" s="49" t="n">
        <f aca="false">COUNT(N50:N79)</f>
        <v>4</v>
      </c>
      <c r="P82" s="57" t="s">
        <v>55</v>
      </c>
      <c r="Q82" s="50" t="n">
        <f aca="false">COUNT(P50:P79)</f>
        <v>1</v>
      </c>
      <c r="R82" s="57" t="s">
        <v>55</v>
      </c>
      <c r="S82" s="51" t="n">
        <f aca="false">COUNT(R50:R79)</f>
        <v>0</v>
      </c>
    </row>
    <row r="83" customFormat="false" ht="15" hidden="false" customHeight="false" outlineLevel="0" collapsed="false">
      <c r="A83" s="60"/>
      <c r="B83" s="57"/>
      <c r="C83" s="49"/>
      <c r="D83" s="57"/>
      <c r="E83" s="49"/>
      <c r="F83" s="57"/>
      <c r="G83" s="49"/>
      <c r="H83" s="57"/>
      <c r="I83" s="49"/>
      <c r="J83" s="57"/>
      <c r="K83" s="49"/>
      <c r="L83" s="57"/>
      <c r="M83" s="49"/>
      <c r="N83" s="57"/>
      <c r="O83" s="49"/>
      <c r="P83" s="57"/>
      <c r="Q83" s="50"/>
      <c r="R83" s="57"/>
      <c r="S83" s="51"/>
    </row>
    <row r="84" customFormat="false" ht="15" hidden="false" customHeight="false" outlineLevel="0" collapsed="false">
      <c r="A84" s="60"/>
      <c r="B84" s="57"/>
      <c r="C84" s="49"/>
      <c r="D84" s="57"/>
      <c r="E84" s="49"/>
      <c r="F84" s="57"/>
      <c r="G84" s="49"/>
      <c r="H84" s="57"/>
      <c r="I84" s="49"/>
      <c r="J84" s="57"/>
      <c r="K84" s="49"/>
      <c r="L84" s="57"/>
      <c r="M84" s="49"/>
      <c r="N84" s="57"/>
      <c r="O84" s="49"/>
      <c r="P84" s="57"/>
      <c r="Q84" s="50"/>
      <c r="R84" s="57"/>
      <c r="S84" s="51"/>
    </row>
    <row r="85" customFormat="false" ht="39.75" hidden="false" customHeight="true" outlineLevel="0" collapsed="false">
      <c r="A85" s="61"/>
      <c r="B85" s="62" t="s">
        <v>56</v>
      </c>
      <c r="C85" s="62" t="n">
        <f aca="false">MAX(B50:B79)</f>
        <v>27</v>
      </c>
      <c r="D85" s="62" t="s">
        <v>56</v>
      </c>
      <c r="E85" s="62" t="n">
        <f aca="false">MAX(D50:D79)</f>
        <v>21</v>
      </c>
      <c r="F85" s="62" t="s">
        <v>56</v>
      </c>
      <c r="G85" s="62" t="n">
        <f aca="false">MAX(F50:F79)</f>
        <v>29</v>
      </c>
      <c r="H85" s="62" t="s">
        <v>56</v>
      </c>
      <c r="I85" s="62" t="n">
        <f aca="false">MAX(H50:H79)</f>
        <v>27</v>
      </c>
      <c r="J85" s="62" t="s">
        <v>56</v>
      </c>
      <c r="K85" s="62" t="n">
        <f aca="false">MAX(J50:J79)</f>
        <v>27</v>
      </c>
      <c r="L85" s="62" t="s">
        <v>56</v>
      </c>
      <c r="M85" s="62" t="n">
        <f aca="false">MAX(L50:L79)</f>
        <v>27</v>
      </c>
      <c r="N85" s="62" t="s">
        <v>56</v>
      </c>
      <c r="O85" s="62" t="n">
        <f aca="false">MAX(N50:N79)</f>
        <v>30</v>
      </c>
      <c r="P85" s="62" t="s">
        <v>56</v>
      </c>
      <c r="Q85" s="67" t="n">
        <f aca="false">MAX(P50:P79)</f>
        <v>22</v>
      </c>
      <c r="R85" s="62" t="s">
        <v>56</v>
      </c>
      <c r="S85" s="68" t="n">
        <f aca="false">MAX(R50:R79)</f>
        <v>0</v>
      </c>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row>
    <row r="89" customFormat="false" ht="15" hidden="false" customHeight="true" outlineLevel="0" collapsed="false">
      <c r="A89" s="14" t="s">
        <v>61</v>
      </c>
      <c r="B89" s="14"/>
      <c r="C89" s="14"/>
      <c r="D89" s="14"/>
      <c r="E89" s="14"/>
      <c r="F89" s="14"/>
      <c r="G89" s="14"/>
      <c r="H89" s="14"/>
      <c r="I89" s="14"/>
      <c r="J89" s="14"/>
      <c r="K89" s="14"/>
      <c r="L89" s="14"/>
      <c r="M89" s="14"/>
      <c r="N89" s="14"/>
      <c r="O89" s="14"/>
      <c r="P89" s="14"/>
      <c r="Q89" s="14"/>
      <c r="R89" s="14"/>
      <c r="S89" s="14"/>
    </row>
    <row r="90" customFormat="false" ht="15" hidden="false" customHeight="true" outlineLevel="0" collapsed="false">
      <c r="A90" s="14"/>
      <c r="B90" s="14"/>
      <c r="C90" s="14"/>
      <c r="D90" s="14"/>
      <c r="E90" s="14"/>
      <c r="F90" s="14"/>
      <c r="G90" s="14"/>
      <c r="H90" s="14"/>
      <c r="I90" s="14"/>
      <c r="J90" s="14"/>
      <c r="K90" s="14"/>
      <c r="L90" s="14"/>
      <c r="M90" s="14"/>
      <c r="N90" s="14"/>
      <c r="O90" s="14"/>
      <c r="P90" s="14"/>
      <c r="Q90" s="14"/>
      <c r="R90" s="14"/>
      <c r="S90" s="14"/>
    </row>
    <row r="91" customFormat="false" ht="15" hidden="false" customHeight="true" outlineLevel="0" collapsed="false">
      <c r="A91" s="48" t="s">
        <v>49</v>
      </c>
      <c r="B91" s="49" t="s">
        <v>50</v>
      </c>
      <c r="C91" s="49"/>
      <c r="D91" s="49" t="s">
        <v>50</v>
      </c>
      <c r="E91" s="49"/>
      <c r="F91" s="49" t="s">
        <v>50</v>
      </c>
      <c r="G91" s="49"/>
      <c r="H91" s="49" t="s">
        <v>50</v>
      </c>
      <c r="I91" s="49"/>
      <c r="J91" s="49" t="s">
        <v>50</v>
      </c>
      <c r="K91" s="49"/>
      <c r="L91" s="49" t="s">
        <v>50</v>
      </c>
      <c r="M91" s="49"/>
      <c r="N91" s="49" t="s">
        <v>50</v>
      </c>
      <c r="O91" s="49"/>
      <c r="P91" s="50" t="s">
        <v>50</v>
      </c>
      <c r="Q91" s="50"/>
      <c r="R91" s="51" t="s">
        <v>50</v>
      </c>
      <c r="S91" s="51"/>
    </row>
    <row r="92" customFormat="false" ht="17.35" hidden="false" customHeight="false" outlineLevel="0" collapsed="false">
      <c r="A92" s="48"/>
      <c r="B92" s="52" t="str">
        <f aca="false">TABELA!H10</f>
        <v>VLATKO PEKOVIĆ</v>
      </c>
      <c r="C92" s="52"/>
      <c r="D92" s="52" t="str">
        <f aca="false">TABELA!H11</f>
        <v>IVICA RAJKOVIĆ</v>
      </c>
      <c r="E92" s="52"/>
      <c r="F92" s="52" t="str">
        <f aca="false">TABELA!H12</f>
        <v>PETAR OBRADOVIĆ</v>
      </c>
      <c r="G92" s="52"/>
      <c r="H92" s="52" t="str">
        <f aca="false">TABELA!H13</f>
        <v>BOJAN GOVEDARICA</v>
      </c>
      <c r="I92" s="52"/>
      <c r="J92" s="52" t="str">
        <f aca="false">TABELA!H14</f>
        <v>BOGDAN MARKOVIĆ</v>
      </c>
      <c r="K92" s="52"/>
      <c r="L92" s="52" t="str">
        <f aca="false">TABELA!H15</f>
        <v>BALŠA FUŠTIĆ</v>
      </c>
      <c r="M92" s="52"/>
      <c r="N92" s="52" t="str">
        <f aca="false">TABELA!H16</f>
        <v>RADULE MIĆOVIĆ</v>
      </c>
      <c r="O92" s="52"/>
      <c r="P92" s="53" t="str">
        <f aca="false">TABELA!H17</f>
        <v>MEHMED DŽIDIĆ</v>
      </c>
      <c r="Q92" s="53"/>
      <c r="R92" s="54" t="str">
        <f aca="false">TABELA!H18</f>
        <v>ORHAN BAŠIĆ</v>
      </c>
      <c r="S92" s="54"/>
    </row>
    <row r="93" customFormat="false" ht="15" hidden="false" customHeight="false" outlineLevel="0" collapsed="false">
      <c r="A93" s="48"/>
      <c r="B93" s="49" t="s">
        <v>51</v>
      </c>
      <c r="C93" s="49" t="s">
        <v>52</v>
      </c>
      <c r="D93" s="49" t="s">
        <v>51</v>
      </c>
      <c r="E93" s="49" t="s">
        <v>52</v>
      </c>
      <c r="F93" s="49" t="s">
        <v>51</v>
      </c>
      <c r="G93" s="49" t="s">
        <v>52</v>
      </c>
      <c r="H93" s="49" t="s">
        <v>51</v>
      </c>
      <c r="I93" s="49" t="s">
        <v>52</v>
      </c>
      <c r="J93" s="49" t="s">
        <v>51</v>
      </c>
      <c r="K93" s="49" t="s">
        <v>52</v>
      </c>
      <c r="L93" s="49" t="s">
        <v>51</v>
      </c>
      <c r="M93" s="49" t="s">
        <v>52</v>
      </c>
      <c r="N93" s="49" t="s">
        <v>51</v>
      </c>
      <c r="O93" s="49" t="s">
        <v>52</v>
      </c>
      <c r="P93" s="49" t="s">
        <v>51</v>
      </c>
      <c r="Q93" s="50" t="s">
        <v>52</v>
      </c>
      <c r="R93" s="49" t="s">
        <v>51</v>
      </c>
      <c r="S93" s="51" t="s">
        <v>52</v>
      </c>
    </row>
    <row r="94" customFormat="false" ht="15" hidden="false" customHeight="false" outlineLevel="0" collapsed="false">
      <c r="A94" s="55" t="n">
        <v>1</v>
      </c>
      <c r="B94" s="49" t="n">
        <v>39</v>
      </c>
      <c r="C94" s="49" t="n">
        <f aca="false">IF(B94,B94*20+100,0)</f>
        <v>880</v>
      </c>
      <c r="D94" s="49" t="n">
        <v>25</v>
      </c>
      <c r="E94" s="49" t="n">
        <f aca="false">IF(D94,D94*20+100,0)</f>
        <v>600</v>
      </c>
      <c r="F94" s="49" t="n">
        <v>21</v>
      </c>
      <c r="G94" s="49" t="n">
        <f aca="false">IF(F94,F94*20+100,0)</f>
        <v>520</v>
      </c>
      <c r="H94" s="49"/>
      <c r="I94" s="49" t="n">
        <f aca="false">IF(H94,H94*20+100,0)</f>
        <v>0</v>
      </c>
      <c r="J94" s="49"/>
      <c r="K94" s="49" t="n">
        <f aca="false">IF(J94,J94*20+100,0)</f>
        <v>0</v>
      </c>
      <c r="L94" s="49" t="n">
        <v>33</v>
      </c>
      <c r="M94" s="49" t="n">
        <f aca="false">IF(L94,L94*20+100,0)</f>
        <v>760</v>
      </c>
      <c r="N94" s="49" t="n">
        <v>32</v>
      </c>
      <c r="O94" s="49" t="n">
        <f aca="false">IF(N94,N94*20+100,0)</f>
        <v>740</v>
      </c>
      <c r="P94" s="49"/>
      <c r="Q94" s="50" t="n">
        <f aca="false">IF(P94,P94*20+100,0)</f>
        <v>0</v>
      </c>
      <c r="R94" s="49"/>
      <c r="S94" s="51" t="n">
        <f aca="false">IF(R94,R94*20+100,0)</f>
        <v>0</v>
      </c>
    </row>
    <row r="95" customFormat="false" ht="15" hidden="false" customHeight="false" outlineLevel="0" collapsed="false">
      <c r="A95" s="55" t="n">
        <v>2</v>
      </c>
      <c r="B95" s="49"/>
      <c r="C95" s="49" t="n">
        <f aca="false">IF(B95,B95*20+100,0)</f>
        <v>0</v>
      </c>
      <c r="D95" s="49"/>
      <c r="E95" s="49" t="n">
        <f aca="false">IF(D95,D95*20+100,0)</f>
        <v>0</v>
      </c>
      <c r="F95" s="49" t="n">
        <v>39</v>
      </c>
      <c r="G95" s="49" t="n">
        <f aca="false">IF(F95,F95*20+100,0)</f>
        <v>880</v>
      </c>
      <c r="H95" s="49"/>
      <c r="I95" s="49" t="n">
        <f aca="false">IF(H95,H95*20+100,0)</f>
        <v>0</v>
      </c>
      <c r="J95" s="49"/>
      <c r="K95" s="49" t="n">
        <f aca="false">IF(J95,J95*20+100,0)</f>
        <v>0</v>
      </c>
      <c r="L95" s="49"/>
      <c r="M95" s="49" t="n">
        <f aca="false">IF(L95,L95*20+100,0)</f>
        <v>0</v>
      </c>
      <c r="N95" s="49" t="n">
        <v>22</v>
      </c>
      <c r="O95" s="49" t="n">
        <f aca="false">IF(N95,N95*20+100,0)</f>
        <v>540</v>
      </c>
      <c r="P95" s="49"/>
      <c r="Q95" s="50" t="n">
        <f aca="false">IF(P95,P95*20+100,0)</f>
        <v>0</v>
      </c>
      <c r="R95" s="49"/>
      <c r="S95" s="51" t="n">
        <f aca="false">IF(R95,R95*20+100,0)</f>
        <v>0</v>
      </c>
    </row>
    <row r="96" customFormat="false" ht="15" hidden="false" customHeight="false" outlineLevel="0" collapsed="false">
      <c r="A96" s="55" t="n">
        <v>3</v>
      </c>
      <c r="B96" s="49"/>
      <c r="C96" s="49" t="n">
        <f aca="false">IF(B96,B96*20+100,0)</f>
        <v>0</v>
      </c>
      <c r="D96" s="49"/>
      <c r="E96" s="49" t="n">
        <f aca="false">IF(D96,D96*20+100,0)</f>
        <v>0</v>
      </c>
      <c r="F96" s="49"/>
      <c r="G96" s="49" t="n">
        <f aca="false">IF(F96,F96*20+100,0)</f>
        <v>0</v>
      </c>
      <c r="H96" s="49"/>
      <c r="I96" s="49" t="n">
        <f aca="false">IF(H96,H96*20+100,0)</f>
        <v>0</v>
      </c>
      <c r="J96" s="49"/>
      <c r="K96" s="49" t="n">
        <f aca="false">IF(J96,J96*20+100,0)</f>
        <v>0</v>
      </c>
      <c r="L96" s="49"/>
      <c r="M96" s="49" t="n">
        <f aca="false">IF(L96,L96*20+100,0)</f>
        <v>0</v>
      </c>
      <c r="N96" s="49"/>
      <c r="O96" s="49" t="n">
        <f aca="false">IF(N96,N96*20+100,0)</f>
        <v>0</v>
      </c>
      <c r="P96" s="49"/>
      <c r="Q96" s="50" t="n">
        <f aca="false">IF(P96,P96*20+100,0)</f>
        <v>0</v>
      </c>
      <c r="R96" s="49"/>
      <c r="S96" s="51" t="n">
        <f aca="false">IF(R96,R96*20+100,0)</f>
        <v>0</v>
      </c>
    </row>
    <row r="97" customFormat="false" ht="15" hidden="false" customHeight="false" outlineLevel="0" collapsed="false">
      <c r="A97" s="55" t="n">
        <v>4</v>
      </c>
      <c r="B97" s="49"/>
      <c r="C97" s="49" t="n">
        <f aca="false">IF(B97,B97*20+100,0)</f>
        <v>0</v>
      </c>
      <c r="D97" s="49"/>
      <c r="E97" s="49" t="n">
        <f aca="false">IF(D97,D97*20+100,0)</f>
        <v>0</v>
      </c>
      <c r="F97" s="49"/>
      <c r="G97" s="49" t="n">
        <f aca="false">IF(F97,F97*20+100,0)</f>
        <v>0</v>
      </c>
      <c r="H97" s="49"/>
      <c r="I97" s="49" t="n">
        <f aca="false">IF(H97,H97*20+100,0)</f>
        <v>0</v>
      </c>
      <c r="J97" s="49"/>
      <c r="K97" s="49" t="n">
        <f aca="false">IF(J97,J97*20+100,0)</f>
        <v>0</v>
      </c>
      <c r="L97" s="49"/>
      <c r="M97" s="49" t="n">
        <f aca="false">IF(L97,L97*20+100,0)</f>
        <v>0</v>
      </c>
      <c r="N97" s="49"/>
      <c r="O97" s="49" t="n">
        <f aca="false">IF(N97,N97*20+100,0)</f>
        <v>0</v>
      </c>
      <c r="P97" s="49"/>
      <c r="Q97" s="50" t="n">
        <f aca="false">IF(P97,P97*20+100,0)</f>
        <v>0</v>
      </c>
      <c r="R97" s="49"/>
      <c r="S97" s="51" t="n">
        <f aca="false">IF(R97,R97*20+100,0)</f>
        <v>0</v>
      </c>
    </row>
    <row r="98" customFormat="false" ht="15" hidden="false" customHeight="false" outlineLevel="0" collapsed="false">
      <c r="A98" s="55" t="n">
        <v>5</v>
      </c>
      <c r="B98" s="49"/>
      <c r="C98" s="49" t="n">
        <f aca="false">IF(B98,B98*20+100,0)</f>
        <v>0</v>
      </c>
      <c r="D98" s="49"/>
      <c r="E98" s="49" t="n">
        <f aca="false">IF(D98,D98*20+100,0)</f>
        <v>0</v>
      </c>
      <c r="F98" s="49"/>
      <c r="G98" s="49" t="n">
        <f aca="false">IF(F98,F98*20+100,0)</f>
        <v>0</v>
      </c>
      <c r="H98" s="49"/>
      <c r="I98" s="49" t="n">
        <f aca="false">IF(H98,H98*20+100,0)</f>
        <v>0</v>
      </c>
      <c r="J98" s="49"/>
      <c r="K98" s="49" t="n">
        <f aca="false">IF(J98,J98*20+100,0)</f>
        <v>0</v>
      </c>
      <c r="L98" s="49"/>
      <c r="M98" s="49" t="n">
        <f aca="false">IF(L98,L98*20+100,0)</f>
        <v>0</v>
      </c>
      <c r="N98" s="49"/>
      <c r="O98" s="49" t="n">
        <f aca="false">IF(N98,N98*20+100,0)</f>
        <v>0</v>
      </c>
      <c r="P98" s="49"/>
      <c r="Q98" s="50" t="n">
        <f aca="false">IF(P98,P98*20+100,0)</f>
        <v>0</v>
      </c>
      <c r="R98" s="49"/>
      <c r="S98" s="51" t="n">
        <f aca="false">IF(R98,R98*20+100,0)</f>
        <v>0</v>
      </c>
    </row>
    <row r="99" customFormat="false" ht="15" hidden="false" customHeight="false" outlineLevel="0" collapsed="false">
      <c r="A99" s="55" t="n">
        <v>6</v>
      </c>
      <c r="B99" s="49"/>
      <c r="C99" s="49" t="n">
        <f aca="false">IF(B99,B99*20+100,0)</f>
        <v>0</v>
      </c>
      <c r="D99" s="49"/>
      <c r="E99" s="49" t="n">
        <f aca="false">IF(D99,D99*20+100,0)</f>
        <v>0</v>
      </c>
      <c r="F99" s="49"/>
      <c r="G99" s="49" t="n">
        <f aca="false">IF(F99,F99*20+100,0)</f>
        <v>0</v>
      </c>
      <c r="H99" s="49"/>
      <c r="I99" s="49" t="n">
        <f aca="false">IF(H99,H99*20+100,0)</f>
        <v>0</v>
      </c>
      <c r="J99" s="49"/>
      <c r="K99" s="49" t="n">
        <f aca="false">IF(J99,J99*20+100,0)</f>
        <v>0</v>
      </c>
      <c r="L99" s="49"/>
      <c r="M99" s="49" t="n">
        <f aca="false">IF(L99,L99*20+100,0)</f>
        <v>0</v>
      </c>
      <c r="N99" s="49"/>
      <c r="O99" s="49" t="n">
        <f aca="false">IF(N99,N99*20+100,0)</f>
        <v>0</v>
      </c>
      <c r="P99" s="49"/>
      <c r="Q99" s="50" t="n">
        <f aca="false">IF(P99,P99*20+100,0)</f>
        <v>0</v>
      </c>
      <c r="R99" s="49"/>
      <c r="S99" s="51" t="n">
        <f aca="false">IF(R99,R99*20+100,0)</f>
        <v>0</v>
      </c>
    </row>
    <row r="100" customFormat="false" ht="15" hidden="false" customHeight="false" outlineLevel="0" collapsed="false">
      <c r="A100" s="55" t="n">
        <v>7</v>
      </c>
      <c r="B100" s="49"/>
      <c r="C100" s="49" t="n">
        <f aca="false">IF(B100,B100*20+100,0)</f>
        <v>0</v>
      </c>
      <c r="D100" s="49"/>
      <c r="E100" s="49" t="n">
        <f aca="false">IF(D100,D100*20+100,0)</f>
        <v>0</v>
      </c>
      <c r="F100" s="49"/>
      <c r="G100" s="49" t="n">
        <f aca="false">IF(F100,F100*20+100,0)</f>
        <v>0</v>
      </c>
      <c r="H100" s="49"/>
      <c r="I100" s="49" t="n">
        <f aca="false">IF(H100,H100*20+100,0)</f>
        <v>0</v>
      </c>
      <c r="J100" s="49"/>
      <c r="K100" s="49" t="n">
        <f aca="false">IF(J100,J100*20+100,0)</f>
        <v>0</v>
      </c>
      <c r="L100" s="49"/>
      <c r="M100" s="49" t="n">
        <f aca="false">IF(L100,L100*20+100,0)</f>
        <v>0</v>
      </c>
      <c r="N100" s="49"/>
      <c r="O100" s="49" t="n">
        <f aca="false">IF(N100,N100*20+100,0)</f>
        <v>0</v>
      </c>
      <c r="P100" s="49"/>
      <c r="Q100" s="50" t="n">
        <f aca="false">IF(P100,P100*20+100,0)</f>
        <v>0</v>
      </c>
      <c r="R100" s="49"/>
      <c r="S100" s="51" t="n">
        <f aca="false">IF(R100,R100*20+100,0)</f>
        <v>0</v>
      </c>
    </row>
    <row r="101" customFormat="false" ht="15" hidden="false" customHeight="false" outlineLevel="0" collapsed="false">
      <c r="A101" s="55" t="n">
        <v>8</v>
      </c>
      <c r="B101" s="49"/>
      <c r="C101" s="49" t="n">
        <f aca="false">IF(B101,B101*20+100,0)</f>
        <v>0</v>
      </c>
      <c r="D101" s="49"/>
      <c r="E101" s="49" t="n">
        <f aca="false">IF(D101,D101*20+100,0)</f>
        <v>0</v>
      </c>
      <c r="F101" s="49"/>
      <c r="G101" s="49" t="n">
        <f aca="false">IF(F101,F101*20+100,0)</f>
        <v>0</v>
      </c>
      <c r="H101" s="49"/>
      <c r="I101" s="49" t="n">
        <f aca="false">IF(H101,H101*20+100,0)</f>
        <v>0</v>
      </c>
      <c r="J101" s="49"/>
      <c r="K101" s="49" t="n">
        <f aca="false">IF(J101,J101*20+100,0)</f>
        <v>0</v>
      </c>
      <c r="L101" s="49"/>
      <c r="M101" s="49" t="n">
        <f aca="false">IF(L101,L101*20+100,0)</f>
        <v>0</v>
      </c>
      <c r="N101" s="49"/>
      <c r="O101" s="49" t="n">
        <f aca="false">IF(N101,N101*20+100,0)</f>
        <v>0</v>
      </c>
      <c r="P101" s="49"/>
      <c r="Q101" s="50" t="n">
        <f aca="false">IF(P101,P101*20+100,0)</f>
        <v>0</v>
      </c>
      <c r="R101" s="49"/>
      <c r="S101" s="51" t="n">
        <f aca="false">IF(R101,R101*20+100,0)</f>
        <v>0</v>
      </c>
    </row>
    <row r="102" customFormat="false" ht="15" hidden="false" customHeight="false" outlineLevel="0" collapsed="false">
      <c r="A102" s="55" t="n">
        <v>9</v>
      </c>
      <c r="B102" s="49"/>
      <c r="C102" s="49" t="n">
        <f aca="false">IF(B102,B102*20+100,0)</f>
        <v>0</v>
      </c>
      <c r="D102" s="49"/>
      <c r="E102" s="49" t="n">
        <f aca="false">IF(D102,D102*20+100,0)</f>
        <v>0</v>
      </c>
      <c r="F102" s="49"/>
      <c r="G102" s="49" t="n">
        <f aca="false">IF(F102,F102*20+100,0)</f>
        <v>0</v>
      </c>
      <c r="H102" s="49"/>
      <c r="I102" s="49" t="n">
        <f aca="false">IF(H102,H102*20+100,0)</f>
        <v>0</v>
      </c>
      <c r="J102" s="49"/>
      <c r="K102" s="49" t="n">
        <f aca="false">IF(J102,J102*20+100,0)</f>
        <v>0</v>
      </c>
      <c r="L102" s="49"/>
      <c r="M102" s="49" t="n">
        <f aca="false">IF(L102,L102*20+100,0)</f>
        <v>0</v>
      </c>
      <c r="N102" s="49"/>
      <c r="O102" s="49" t="n">
        <f aca="false">IF(N102,N102*20+100,0)</f>
        <v>0</v>
      </c>
      <c r="P102" s="49"/>
      <c r="Q102" s="50" t="n">
        <f aca="false">IF(P102,P102*20+100,0)</f>
        <v>0</v>
      </c>
      <c r="R102" s="49"/>
      <c r="S102" s="51" t="n">
        <f aca="false">IF(R102,R102*20+100,0)</f>
        <v>0</v>
      </c>
    </row>
    <row r="103" customFormat="false" ht="15" hidden="false" customHeight="false" outlineLevel="0" collapsed="false">
      <c r="A103" s="55" t="n">
        <v>10</v>
      </c>
      <c r="B103" s="49"/>
      <c r="C103" s="49" t="n">
        <f aca="false">IF(B103,B103*20+100,0)</f>
        <v>0</v>
      </c>
      <c r="D103" s="49"/>
      <c r="E103" s="49" t="n">
        <f aca="false">IF(D103,D103*20+100,0)</f>
        <v>0</v>
      </c>
      <c r="F103" s="49"/>
      <c r="G103" s="49" t="n">
        <f aca="false">IF(F103,F103*20+100,0)</f>
        <v>0</v>
      </c>
      <c r="H103" s="49"/>
      <c r="I103" s="49" t="n">
        <f aca="false">IF(H103,H103*20+100,0)</f>
        <v>0</v>
      </c>
      <c r="J103" s="49"/>
      <c r="K103" s="49" t="n">
        <f aca="false">IF(J103,J103*20+100,0)</f>
        <v>0</v>
      </c>
      <c r="L103" s="49"/>
      <c r="M103" s="49" t="n">
        <f aca="false">IF(L103,L103*20+100,0)</f>
        <v>0</v>
      </c>
      <c r="N103" s="49"/>
      <c r="O103" s="49" t="n">
        <f aca="false">IF(N103,N103*20+100,0)</f>
        <v>0</v>
      </c>
      <c r="P103" s="49"/>
      <c r="Q103" s="50" t="n">
        <f aca="false">IF(P103,P103*20+100,0)</f>
        <v>0</v>
      </c>
      <c r="R103" s="49"/>
      <c r="S103" s="51" t="n">
        <f aca="false">IF(R103,R103*20+100,0)</f>
        <v>0</v>
      </c>
    </row>
    <row r="104" customFormat="false" ht="15" hidden="false" customHeight="false" outlineLevel="0" collapsed="false">
      <c r="A104" s="55" t="n">
        <v>11</v>
      </c>
      <c r="B104" s="49"/>
      <c r="C104" s="49" t="n">
        <f aca="false">IF(B104,B104*20+100,0)</f>
        <v>0</v>
      </c>
      <c r="D104" s="49"/>
      <c r="E104" s="49" t="n">
        <f aca="false">IF(D104,D104*20+100,0)</f>
        <v>0</v>
      </c>
      <c r="F104" s="49"/>
      <c r="G104" s="49" t="n">
        <f aca="false">IF(F104,F104*20+100,0)</f>
        <v>0</v>
      </c>
      <c r="H104" s="49"/>
      <c r="I104" s="49" t="n">
        <f aca="false">IF(H104,H104*20+100,0)</f>
        <v>0</v>
      </c>
      <c r="J104" s="49"/>
      <c r="K104" s="49" t="n">
        <f aca="false">IF(J104,J104*20+100,0)</f>
        <v>0</v>
      </c>
      <c r="L104" s="49"/>
      <c r="M104" s="49" t="n">
        <f aca="false">IF(L104,L104*20+100,0)</f>
        <v>0</v>
      </c>
      <c r="N104" s="49"/>
      <c r="O104" s="49" t="n">
        <f aca="false">IF(N104,N104*20+100,0)</f>
        <v>0</v>
      </c>
      <c r="P104" s="49"/>
      <c r="Q104" s="50" t="n">
        <f aca="false">IF(P104,P104*20+100,0)</f>
        <v>0</v>
      </c>
      <c r="R104" s="49"/>
      <c r="S104" s="51" t="n">
        <f aca="false">IF(R104,R104*20+100,0)</f>
        <v>0</v>
      </c>
    </row>
    <row r="105" customFormat="false" ht="15" hidden="false" customHeight="false" outlineLevel="0" collapsed="false">
      <c r="A105" s="55" t="n">
        <v>12</v>
      </c>
      <c r="B105" s="49"/>
      <c r="C105" s="49" t="n">
        <f aca="false">IF(B105,B105*20+100,0)</f>
        <v>0</v>
      </c>
      <c r="D105" s="49"/>
      <c r="E105" s="49" t="n">
        <f aca="false">IF(D105,D105*20+100,0)</f>
        <v>0</v>
      </c>
      <c r="F105" s="49"/>
      <c r="G105" s="49" t="n">
        <f aca="false">IF(F105,F105*20+100,0)</f>
        <v>0</v>
      </c>
      <c r="H105" s="49"/>
      <c r="I105" s="49" t="n">
        <f aca="false">IF(H105,H105*20+100,0)</f>
        <v>0</v>
      </c>
      <c r="J105" s="49"/>
      <c r="K105" s="49" t="n">
        <f aca="false">IF(J105,J105*20+100,0)</f>
        <v>0</v>
      </c>
      <c r="L105" s="49"/>
      <c r="M105" s="49" t="n">
        <f aca="false">IF(L105,L105*20+100,0)</f>
        <v>0</v>
      </c>
      <c r="N105" s="49"/>
      <c r="O105" s="49" t="n">
        <f aca="false">IF(N105,N105*20+100,0)</f>
        <v>0</v>
      </c>
      <c r="P105" s="49"/>
      <c r="Q105" s="50" t="n">
        <f aca="false">IF(P105,P105*20+100,0)</f>
        <v>0</v>
      </c>
      <c r="R105" s="49"/>
      <c r="S105" s="51" t="n">
        <f aca="false">IF(R105,R105*20+100,0)</f>
        <v>0</v>
      </c>
    </row>
    <row r="106" customFormat="false" ht="15" hidden="false" customHeight="false" outlineLevel="0" collapsed="false">
      <c r="A106" s="55" t="n">
        <v>13</v>
      </c>
      <c r="B106" s="49"/>
      <c r="C106" s="49" t="n">
        <f aca="false">IF(B106,B106*20+100,0)</f>
        <v>0</v>
      </c>
      <c r="D106" s="49"/>
      <c r="E106" s="49" t="n">
        <f aca="false">IF(D106,D106*20+100,0)</f>
        <v>0</v>
      </c>
      <c r="F106" s="49"/>
      <c r="G106" s="49" t="n">
        <f aca="false">IF(F106,F106*20+100,0)</f>
        <v>0</v>
      </c>
      <c r="H106" s="49"/>
      <c r="I106" s="49" t="n">
        <f aca="false">IF(H106,H106*20+100,0)</f>
        <v>0</v>
      </c>
      <c r="J106" s="49"/>
      <c r="K106" s="49" t="n">
        <f aca="false">IF(J106,J106*20+100,0)</f>
        <v>0</v>
      </c>
      <c r="L106" s="49"/>
      <c r="M106" s="49" t="n">
        <f aca="false">IF(L106,L106*20+100,0)</f>
        <v>0</v>
      </c>
      <c r="N106" s="49"/>
      <c r="O106" s="49" t="n">
        <f aca="false">IF(N106,N106*20+100,0)</f>
        <v>0</v>
      </c>
      <c r="P106" s="49"/>
      <c r="Q106" s="50" t="n">
        <f aca="false">IF(P106,P106*20+100,0)</f>
        <v>0</v>
      </c>
      <c r="R106" s="49"/>
      <c r="S106" s="51" t="n">
        <f aca="false">IF(R106,R106*20+100,0)</f>
        <v>0</v>
      </c>
    </row>
    <row r="107" customFormat="false" ht="15" hidden="false" customHeight="false" outlineLevel="0" collapsed="false">
      <c r="A107" s="55" t="n">
        <v>14</v>
      </c>
      <c r="B107" s="49"/>
      <c r="C107" s="49" t="n">
        <f aca="false">IF(B107,B107*20+100,0)</f>
        <v>0</v>
      </c>
      <c r="D107" s="49"/>
      <c r="E107" s="49" t="n">
        <f aca="false">IF(D107,D107*20+100,0)</f>
        <v>0</v>
      </c>
      <c r="F107" s="49"/>
      <c r="G107" s="49" t="n">
        <f aca="false">IF(F107,F107*20+100,0)</f>
        <v>0</v>
      </c>
      <c r="H107" s="49"/>
      <c r="I107" s="49" t="n">
        <f aca="false">IF(H107,H107*20+100,0)</f>
        <v>0</v>
      </c>
      <c r="J107" s="49"/>
      <c r="K107" s="49" t="n">
        <f aca="false">IF(J107,J107*20+100,0)</f>
        <v>0</v>
      </c>
      <c r="L107" s="49"/>
      <c r="M107" s="49" t="n">
        <f aca="false">IF(L107,L107*20+100,0)</f>
        <v>0</v>
      </c>
      <c r="N107" s="49"/>
      <c r="O107" s="49" t="n">
        <f aca="false">IF(N107,N107*20+100,0)</f>
        <v>0</v>
      </c>
      <c r="P107" s="49"/>
      <c r="Q107" s="50" t="n">
        <f aca="false">IF(P107,P107*20+100,0)</f>
        <v>0</v>
      </c>
      <c r="R107" s="49"/>
      <c r="S107" s="51" t="n">
        <f aca="false">IF(R107,R107*20+100,0)</f>
        <v>0</v>
      </c>
    </row>
    <row r="108" customFormat="false" ht="15" hidden="false" customHeight="false" outlineLevel="0" collapsed="false">
      <c r="A108" s="55" t="n">
        <v>15</v>
      </c>
      <c r="B108" s="49"/>
      <c r="C108" s="49" t="n">
        <f aca="false">IF(B108,B108*20+100,0)</f>
        <v>0</v>
      </c>
      <c r="D108" s="49"/>
      <c r="E108" s="49" t="n">
        <f aca="false">IF(D108,D108*20+100,0)</f>
        <v>0</v>
      </c>
      <c r="F108" s="49"/>
      <c r="G108" s="49" t="n">
        <f aca="false">IF(F108,F108*20+100,0)</f>
        <v>0</v>
      </c>
      <c r="H108" s="49"/>
      <c r="I108" s="49" t="n">
        <f aca="false">IF(H108,H108*20+100,0)</f>
        <v>0</v>
      </c>
      <c r="J108" s="49"/>
      <c r="K108" s="49" t="n">
        <f aca="false">IF(J108,J108*20+100,0)</f>
        <v>0</v>
      </c>
      <c r="L108" s="49"/>
      <c r="M108" s="49" t="n">
        <f aca="false">IF(L108,L108*20+100,0)</f>
        <v>0</v>
      </c>
      <c r="N108" s="49"/>
      <c r="O108" s="49" t="n">
        <f aca="false">IF(N108,N108*20+100,0)</f>
        <v>0</v>
      </c>
      <c r="P108" s="49"/>
      <c r="Q108" s="50" t="n">
        <f aca="false">IF(P108,P108*20+100,0)</f>
        <v>0</v>
      </c>
      <c r="R108" s="49"/>
      <c r="S108" s="51" t="n">
        <f aca="false">IF(R108,R108*20+100,0)</f>
        <v>0</v>
      </c>
    </row>
    <row r="109" customFormat="false" ht="15" hidden="false" customHeight="false" outlineLevel="0" collapsed="false">
      <c r="A109" s="55" t="n">
        <v>16</v>
      </c>
      <c r="B109" s="49"/>
      <c r="C109" s="49" t="n">
        <f aca="false">IF(B109,B109*20+100,0)</f>
        <v>0</v>
      </c>
      <c r="D109" s="49"/>
      <c r="E109" s="49" t="n">
        <f aca="false">IF(D109,D109*20+100,0)</f>
        <v>0</v>
      </c>
      <c r="F109" s="49"/>
      <c r="G109" s="49" t="n">
        <f aca="false">IF(F109,F109*20+100,0)</f>
        <v>0</v>
      </c>
      <c r="H109" s="49"/>
      <c r="I109" s="49" t="n">
        <f aca="false">IF(H109,H109*20+100,0)</f>
        <v>0</v>
      </c>
      <c r="J109" s="49"/>
      <c r="K109" s="49" t="n">
        <f aca="false">IF(J109,J109*20+100,0)</f>
        <v>0</v>
      </c>
      <c r="L109" s="49"/>
      <c r="M109" s="49" t="n">
        <f aca="false">IF(L109,L109*20+100,0)</f>
        <v>0</v>
      </c>
      <c r="N109" s="49"/>
      <c r="O109" s="49" t="n">
        <f aca="false">IF(N109,N109*20+100,0)</f>
        <v>0</v>
      </c>
      <c r="P109" s="49"/>
      <c r="Q109" s="50" t="n">
        <f aca="false">IF(P109,P109*20+100,0)</f>
        <v>0</v>
      </c>
      <c r="R109" s="49"/>
      <c r="S109" s="51" t="n">
        <f aca="false">IF(R109,R109*20+100,0)</f>
        <v>0</v>
      </c>
    </row>
    <row r="110" customFormat="false" ht="15" hidden="false" customHeight="false" outlineLevel="0" collapsed="false">
      <c r="A110" s="55" t="n">
        <v>17</v>
      </c>
      <c r="B110" s="49"/>
      <c r="C110" s="49" t="n">
        <f aca="false">IF(B110,B110*20+100,0)</f>
        <v>0</v>
      </c>
      <c r="D110" s="49"/>
      <c r="E110" s="49" t="n">
        <f aca="false">IF(D110,D110*20+100,0)</f>
        <v>0</v>
      </c>
      <c r="F110" s="49"/>
      <c r="G110" s="49" t="n">
        <f aca="false">IF(F110,F110*20+100,0)</f>
        <v>0</v>
      </c>
      <c r="H110" s="49"/>
      <c r="I110" s="49" t="n">
        <f aca="false">IF(H110,H110*20+100,0)</f>
        <v>0</v>
      </c>
      <c r="J110" s="49"/>
      <c r="K110" s="49" t="n">
        <f aca="false">IF(J110,J110*20+100,0)</f>
        <v>0</v>
      </c>
      <c r="L110" s="49"/>
      <c r="M110" s="49" t="n">
        <f aca="false">IF(L110,L110*20+100,0)</f>
        <v>0</v>
      </c>
      <c r="N110" s="49"/>
      <c r="O110" s="49" t="n">
        <f aca="false">IF(N110,N110*20+100,0)</f>
        <v>0</v>
      </c>
      <c r="P110" s="49"/>
      <c r="Q110" s="50" t="n">
        <f aca="false">IF(P110,P110*20+100,0)</f>
        <v>0</v>
      </c>
      <c r="R110" s="49"/>
      <c r="S110" s="51" t="n">
        <f aca="false">IF(R110,R110*20+100,0)</f>
        <v>0</v>
      </c>
    </row>
    <row r="111" customFormat="false" ht="15" hidden="false" customHeight="false" outlineLevel="0" collapsed="false">
      <c r="A111" s="55" t="n">
        <v>18</v>
      </c>
      <c r="B111" s="49"/>
      <c r="C111" s="49" t="n">
        <f aca="false">IF(B111,B111*20+100,0)</f>
        <v>0</v>
      </c>
      <c r="D111" s="49"/>
      <c r="E111" s="49" t="n">
        <f aca="false">IF(D111,D111*20+100,0)</f>
        <v>0</v>
      </c>
      <c r="F111" s="49"/>
      <c r="G111" s="49" t="n">
        <f aca="false">IF(F111,F111*20+100,0)</f>
        <v>0</v>
      </c>
      <c r="H111" s="49"/>
      <c r="I111" s="49" t="n">
        <f aca="false">IF(H111,H111*20+100,0)</f>
        <v>0</v>
      </c>
      <c r="J111" s="49"/>
      <c r="K111" s="49" t="n">
        <f aca="false">IF(J111,J111*20+100,0)</f>
        <v>0</v>
      </c>
      <c r="L111" s="49"/>
      <c r="M111" s="49" t="n">
        <f aca="false">IF(L111,L111*20+100,0)</f>
        <v>0</v>
      </c>
      <c r="N111" s="49"/>
      <c r="O111" s="49" t="n">
        <f aca="false">IF(N111,N111*20+100,0)</f>
        <v>0</v>
      </c>
      <c r="P111" s="49"/>
      <c r="Q111" s="50" t="n">
        <f aca="false">IF(P111,P111*20+100,0)</f>
        <v>0</v>
      </c>
      <c r="R111" s="49"/>
      <c r="S111" s="51" t="n">
        <f aca="false">IF(R111,R111*20+100,0)</f>
        <v>0</v>
      </c>
    </row>
    <row r="112" customFormat="false" ht="15" hidden="false" customHeight="false" outlineLevel="0" collapsed="false">
      <c r="A112" s="55" t="n">
        <v>19</v>
      </c>
      <c r="B112" s="49"/>
      <c r="C112" s="49" t="n">
        <f aca="false">IF(B112,B112*20+100,0)</f>
        <v>0</v>
      </c>
      <c r="D112" s="49"/>
      <c r="E112" s="49" t="n">
        <f aca="false">IF(D112,D112*20+100,0)</f>
        <v>0</v>
      </c>
      <c r="F112" s="49"/>
      <c r="G112" s="49" t="n">
        <f aca="false">IF(F112,F112*20+100,0)</f>
        <v>0</v>
      </c>
      <c r="H112" s="49"/>
      <c r="I112" s="49" t="n">
        <f aca="false">IF(H112,H112*20+100,0)</f>
        <v>0</v>
      </c>
      <c r="J112" s="49"/>
      <c r="K112" s="49" t="n">
        <f aca="false">IF(J112,J112*20+100,0)</f>
        <v>0</v>
      </c>
      <c r="L112" s="49"/>
      <c r="M112" s="49" t="n">
        <f aca="false">IF(L112,L112*20+100,0)</f>
        <v>0</v>
      </c>
      <c r="N112" s="49"/>
      <c r="O112" s="49" t="n">
        <f aca="false">IF(N112,N112*20+100,0)</f>
        <v>0</v>
      </c>
      <c r="P112" s="49"/>
      <c r="Q112" s="50" t="n">
        <f aca="false">IF(P112,P112*20+100,0)</f>
        <v>0</v>
      </c>
      <c r="R112" s="49"/>
      <c r="S112" s="51" t="n">
        <f aca="false">IF(R112,R112*20+100,0)</f>
        <v>0</v>
      </c>
    </row>
    <row r="113" customFormat="false" ht="15" hidden="false" customHeight="false" outlineLevel="0" collapsed="false">
      <c r="A113" s="55" t="n">
        <v>20</v>
      </c>
      <c r="B113" s="49"/>
      <c r="C113" s="49" t="n">
        <f aca="false">IF(B113,B113*20+100,0)</f>
        <v>0</v>
      </c>
      <c r="D113" s="49"/>
      <c r="E113" s="49" t="n">
        <f aca="false">IF(D113,D113*20+100,0)</f>
        <v>0</v>
      </c>
      <c r="F113" s="49"/>
      <c r="G113" s="49" t="n">
        <f aca="false">IF(F113,F113*20+100,0)</f>
        <v>0</v>
      </c>
      <c r="H113" s="49"/>
      <c r="I113" s="49" t="n">
        <f aca="false">IF(H113,H113*20+100,0)</f>
        <v>0</v>
      </c>
      <c r="J113" s="49"/>
      <c r="K113" s="49" t="n">
        <f aca="false">IF(J113,J113*20+100,0)</f>
        <v>0</v>
      </c>
      <c r="L113" s="49"/>
      <c r="M113" s="49" t="n">
        <f aca="false">IF(L113,L113*20+100,0)</f>
        <v>0</v>
      </c>
      <c r="N113" s="49"/>
      <c r="O113" s="49" t="n">
        <f aca="false">IF(N113,N113*20+100,0)</f>
        <v>0</v>
      </c>
      <c r="P113" s="49"/>
      <c r="Q113" s="50" t="n">
        <f aca="false">IF(P113,P113*20+100,0)</f>
        <v>0</v>
      </c>
      <c r="R113" s="49"/>
      <c r="S113" s="51" t="n">
        <f aca="false">IF(R113,R113*20+100,0)</f>
        <v>0</v>
      </c>
    </row>
    <row r="114" customFormat="false" ht="15" hidden="false" customHeight="false" outlineLevel="0" collapsed="false">
      <c r="A114" s="55" t="n">
        <v>21</v>
      </c>
      <c r="B114" s="49"/>
      <c r="C114" s="49" t="n">
        <f aca="false">IF(B114,B114*20+100,0)</f>
        <v>0</v>
      </c>
      <c r="D114" s="49"/>
      <c r="E114" s="49" t="n">
        <f aca="false">IF(D114,D114*20+100,0)</f>
        <v>0</v>
      </c>
      <c r="F114" s="49"/>
      <c r="G114" s="49" t="n">
        <f aca="false">IF(F114,F114*20+100,0)</f>
        <v>0</v>
      </c>
      <c r="H114" s="49"/>
      <c r="I114" s="49" t="n">
        <f aca="false">IF(H114,H114*20+100,0)</f>
        <v>0</v>
      </c>
      <c r="J114" s="49"/>
      <c r="K114" s="49" t="n">
        <f aca="false">IF(J114,J114*20+100,0)</f>
        <v>0</v>
      </c>
      <c r="L114" s="49"/>
      <c r="M114" s="49" t="n">
        <f aca="false">IF(L114,L114*20+100,0)</f>
        <v>0</v>
      </c>
      <c r="N114" s="49"/>
      <c r="O114" s="49" t="n">
        <f aca="false">IF(N114,N114*20+100,0)</f>
        <v>0</v>
      </c>
      <c r="P114" s="49"/>
      <c r="Q114" s="50" t="n">
        <f aca="false">IF(P114,P114*20+100,0)</f>
        <v>0</v>
      </c>
      <c r="R114" s="49"/>
      <c r="S114" s="51" t="n">
        <f aca="false">IF(R114,R114*20+100,0)</f>
        <v>0</v>
      </c>
    </row>
    <row r="115" customFormat="false" ht="15" hidden="false" customHeight="false" outlineLevel="0" collapsed="false">
      <c r="A115" s="55" t="n">
        <v>22</v>
      </c>
      <c r="B115" s="49"/>
      <c r="C115" s="49" t="n">
        <f aca="false">IF(B115,B115*20+100,0)</f>
        <v>0</v>
      </c>
      <c r="D115" s="49"/>
      <c r="E115" s="49" t="n">
        <f aca="false">IF(D115,D115*20+100,0)</f>
        <v>0</v>
      </c>
      <c r="F115" s="49"/>
      <c r="G115" s="49" t="n">
        <f aca="false">IF(F115,F115*20+100,0)</f>
        <v>0</v>
      </c>
      <c r="H115" s="49"/>
      <c r="I115" s="49" t="n">
        <f aca="false">IF(H115,H115*20+100,0)</f>
        <v>0</v>
      </c>
      <c r="J115" s="49"/>
      <c r="K115" s="49" t="n">
        <f aca="false">IF(J115,J115*20+100,0)</f>
        <v>0</v>
      </c>
      <c r="L115" s="49"/>
      <c r="M115" s="49" t="n">
        <f aca="false">IF(L115,L115*20+100,0)</f>
        <v>0</v>
      </c>
      <c r="N115" s="49"/>
      <c r="O115" s="49" t="n">
        <f aca="false">IF(N115,N115*20+100,0)</f>
        <v>0</v>
      </c>
      <c r="P115" s="49"/>
      <c r="Q115" s="50" t="n">
        <f aca="false">IF(P115,P115*20+100,0)</f>
        <v>0</v>
      </c>
      <c r="R115" s="49"/>
      <c r="S115" s="51" t="n">
        <f aca="false">IF(R115,R115*20+100,0)</f>
        <v>0</v>
      </c>
    </row>
    <row r="116" customFormat="false" ht="15" hidden="false" customHeight="false" outlineLevel="0" collapsed="false">
      <c r="A116" s="55" t="n">
        <v>23</v>
      </c>
      <c r="B116" s="49"/>
      <c r="C116" s="49" t="n">
        <f aca="false">IF(B116,B116*20+100,0)</f>
        <v>0</v>
      </c>
      <c r="D116" s="49"/>
      <c r="E116" s="49" t="n">
        <f aca="false">IF(D116,D116*20+100,0)</f>
        <v>0</v>
      </c>
      <c r="F116" s="49"/>
      <c r="G116" s="49" t="n">
        <f aca="false">IF(F116,F116*20+100,0)</f>
        <v>0</v>
      </c>
      <c r="H116" s="49"/>
      <c r="I116" s="49" t="n">
        <f aca="false">IF(H116,H116*20+100,0)</f>
        <v>0</v>
      </c>
      <c r="J116" s="49"/>
      <c r="K116" s="49" t="n">
        <f aca="false">IF(J116,J116*20+100,0)</f>
        <v>0</v>
      </c>
      <c r="L116" s="49"/>
      <c r="M116" s="49" t="n">
        <f aca="false">IF(L116,L116*20+100,0)</f>
        <v>0</v>
      </c>
      <c r="N116" s="49"/>
      <c r="O116" s="49" t="n">
        <f aca="false">IF(N116,N116*20+100,0)</f>
        <v>0</v>
      </c>
      <c r="P116" s="49"/>
      <c r="Q116" s="50" t="n">
        <f aca="false">IF(P116,P116*20+100,0)</f>
        <v>0</v>
      </c>
      <c r="R116" s="49"/>
      <c r="S116" s="51" t="n">
        <f aca="false">IF(R116,R116*20+100,0)</f>
        <v>0</v>
      </c>
    </row>
    <row r="117" customFormat="false" ht="15" hidden="false" customHeight="false" outlineLevel="0" collapsed="false">
      <c r="A117" s="55" t="n">
        <v>24</v>
      </c>
      <c r="B117" s="49"/>
      <c r="C117" s="49" t="n">
        <f aca="false">IF(B117,B117*20+100,0)</f>
        <v>0</v>
      </c>
      <c r="D117" s="49"/>
      <c r="E117" s="49" t="n">
        <f aca="false">IF(D117,D117*20+100,0)</f>
        <v>0</v>
      </c>
      <c r="F117" s="49"/>
      <c r="G117" s="49" t="n">
        <f aca="false">IF(F117,F117*20+100,0)</f>
        <v>0</v>
      </c>
      <c r="H117" s="49"/>
      <c r="I117" s="49" t="n">
        <f aca="false">IF(H117,H117*20+100,0)</f>
        <v>0</v>
      </c>
      <c r="J117" s="49"/>
      <c r="K117" s="49" t="n">
        <f aca="false">IF(J117,J117*20+100,0)</f>
        <v>0</v>
      </c>
      <c r="L117" s="49"/>
      <c r="M117" s="49" t="n">
        <f aca="false">IF(L117,L117*20+100,0)</f>
        <v>0</v>
      </c>
      <c r="N117" s="49"/>
      <c r="O117" s="49" t="n">
        <f aca="false">IF(N117,N117*20+100,0)</f>
        <v>0</v>
      </c>
      <c r="P117" s="49"/>
      <c r="Q117" s="50" t="n">
        <f aca="false">IF(P117,P117*20+100,0)</f>
        <v>0</v>
      </c>
      <c r="R117" s="49"/>
      <c r="S117" s="51" t="n">
        <f aca="false">IF(R117,R117*20+100,0)</f>
        <v>0</v>
      </c>
    </row>
    <row r="118" customFormat="false" ht="15" hidden="false" customHeight="false" outlineLevel="0" collapsed="false">
      <c r="A118" s="55" t="n">
        <v>25</v>
      </c>
      <c r="B118" s="49"/>
      <c r="C118" s="49" t="n">
        <f aca="false">IF(B118,B118*20+100,0)</f>
        <v>0</v>
      </c>
      <c r="D118" s="49"/>
      <c r="E118" s="49" t="n">
        <f aca="false">IF(D118,D118*20+100,0)</f>
        <v>0</v>
      </c>
      <c r="F118" s="49"/>
      <c r="G118" s="49" t="n">
        <f aca="false">IF(F118,F118*20+100,0)</f>
        <v>0</v>
      </c>
      <c r="H118" s="49"/>
      <c r="I118" s="49" t="n">
        <f aca="false">IF(H118,H118*20+100,0)</f>
        <v>0</v>
      </c>
      <c r="J118" s="49"/>
      <c r="K118" s="49" t="n">
        <f aca="false">IF(J118,J118*20+100,0)</f>
        <v>0</v>
      </c>
      <c r="L118" s="49"/>
      <c r="M118" s="49" t="n">
        <f aca="false">IF(L118,L118*20+100,0)</f>
        <v>0</v>
      </c>
      <c r="N118" s="49"/>
      <c r="O118" s="49" t="n">
        <f aca="false">IF(N118,N118*20+100,0)</f>
        <v>0</v>
      </c>
      <c r="P118" s="49"/>
      <c r="Q118" s="50" t="n">
        <f aca="false">IF(P118,P118*20+100,0)</f>
        <v>0</v>
      </c>
      <c r="R118" s="49"/>
      <c r="S118" s="51" t="n">
        <f aca="false">IF(R118,R118*20+100,0)</f>
        <v>0</v>
      </c>
    </row>
    <row r="119" customFormat="false" ht="15" hidden="false" customHeight="false" outlineLevel="0" collapsed="false">
      <c r="A119" s="55" t="n">
        <v>26</v>
      </c>
      <c r="B119" s="49"/>
      <c r="C119" s="49" t="n">
        <f aca="false">IF(B119,B119*20+100,0)</f>
        <v>0</v>
      </c>
      <c r="D119" s="49"/>
      <c r="E119" s="49" t="n">
        <f aca="false">IF(D119,D119*20+100,0)</f>
        <v>0</v>
      </c>
      <c r="F119" s="49"/>
      <c r="G119" s="49" t="n">
        <f aca="false">IF(F119,F119*20+100,0)</f>
        <v>0</v>
      </c>
      <c r="H119" s="49"/>
      <c r="I119" s="49" t="n">
        <f aca="false">IF(H119,H119*20+100,0)</f>
        <v>0</v>
      </c>
      <c r="J119" s="49"/>
      <c r="K119" s="49" t="n">
        <f aca="false">IF(J119,J119*20+100,0)</f>
        <v>0</v>
      </c>
      <c r="L119" s="49"/>
      <c r="M119" s="49" t="n">
        <f aca="false">IF(L119,L119*20+100,0)</f>
        <v>0</v>
      </c>
      <c r="N119" s="49"/>
      <c r="O119" s="49" t="n">
        <f aca="false">IF(N119,N119*20+100,0)</f>
        <v>0</v>
      </c>
      <c r="P119" s="49"/>
      <c r="Q119" s="50" t="n">
        <f aca="false">IF(P119,P119*20+100,0)</f>
        <v>0</v>
      </c>
      <c r="R119" s="49"/>
      <c r="S119" s="51" t="n">
        <f aca="false">IF(R119,R119*20+100,0)</f>
        <v>0</v>
      </c>
    </row>
    <row r="120" customFormat="false" ht="15" hidden="false" customHeight="false" outlineLevel="0" collapsed="false">
      <c r="A120" s="55" t="n">
        <v>27</v>
      </c>
      <c r="B120" s="49"/>
      <c r="C120" s="49" t="n">
        <f aca="false">IF(B120,B120*20+100,0)</f>
        <v>0</v>
      </c>
      <c r="D120" s="49"/>
      <c r="E120" s="49" t="n">
        <f aca="false">IF(D120,D120*20+100,0)</f>
        <v>0</v>
      </c>
      <c r="F120" s="49"/>
      <c r="G120" s="49" t="n">
        <f aca="false">IF(F120,F120*20+100,0)</f>
        <v>0</v>
      </c>
      <c r="H120" s="49"/>
      <c r="I120" s="49" t="n">
        <f aca="false">IF(H120,H120*20+100,0)</f>
        <v>0</v>
      </c>
      <c r="J120" s="49"/>
      <c r="K120" s="49" t="n">
        <f aca="false">IF(J120,J120*20+100,0)</f>
        <v>0</v>
      </c>
      <c r="L120" s="49"/>
      <c r="M120" s="49" t="n">
        <f aca="false">IF(L120,L120*20+100,0)</f>
        <v>0</v>
      </c>
      <c r="N120" s="49"/>
      <c r="O120" s="49" t="n">
        <f aca="false">IF(N120,N120*20+100,0)</f>
        <v>0</v>
      </c>
      <c r="P120" s="49"/>
      <c r="Q120" s="50" t="n">
        <f aca="false">IF(P120,P120*20+100,0)</f>
        <v>0</v>
      </c>
      <c r="R120" s="49"/>
      <c r="S120" s="51" t="n">
        <f aca="false">IF(R120,R120*20+100,0)</f>
        <v>0</v>
      </c>
    </row>
    <row r="121" customFormat="false" ht="15" hidden="false" customHeight="false" outlineLevel="0" collapsed="false">
      <c r="A121" s="55" t="n">
        <v>28</v>
      </c>
      <c r="B121" s="49"/>
      <c r="C121" s="49" t="n">
        <f aca="false">IF(B121,B121*20+100,0)</f>
        <v>0</v>
      </c>
      <c r="D121" s="49"/>
      <c r="E121" s="49" t="n">
        <f aca="false">IF(D121,D121*20+100,0)</f>
        <v>0</v>
      </c>
      <c r="F121" s="49"/>
      <c r="G121" s="49" t="n">
        <f aca="false">IF(F121,F121*20+100,0)</f>
        <v>0</v>
      </c>
      <c r="H121" s="49"/>
      <c r="I121" s="49" t="n">
        <f aca="false">IF(H121,H121*20+100,0)</f>
        <v>0</v>
      </c>
      <c r="J121" s="49"/>
      <c r="K121" s="49" t="n">
        <f aca="false">IF(J121,J121*20+100,0)</f>
        <v>0</v>
      </c>
      <c r="L121" s="49"/>
      <c r="M121" s="49" t="n">
        <f aca="false">IF(L121,L121*20+100,0)</f>
        <v>0</v>
      </c>
      <c r="N121" s="49"/>
      <c r="O121" s="49" t="n">
        <f aca="false">IF(N121,N121*20+100,0)</f>
        <v>0</v>
      </c>
      <c r="P121" s="49"/>
      <c r="Q121" s="50" t="n">
        <f aca="false">IF(P121,P121*20+100,0)</f>
        <v>0</v>
      </c>
      <c r="R121" s="49"/>
      <c r="S121" s="51" t="n">
        <f aca="false">IF(R121,R121*20+100,0)</f>
        <v>0</v>
      </c>
    </row>
    <row r="122" customFormat="false" ht="15" hidden="false" customHeight="false" outlineLevel="0" collapsed="false">
      <c r="A122" s="55" t="n">
        <v>29</v>
      </c>
      <c r="B122" s="49"/>
      <c r="C122" s="49" t="n">
        <f aca="false">IF(B122,B122*20+100,0)</f>
        <v>0</v>
      </c>
      <c r="D122" s="49"/>
      <c r="E122" s="49" t="n">
        <f aca="false">IF(D122,D122*20+100,0)</f>
        <v>0</v>
      </c>
      <c r="F122" s="49"/>
      <c r="G122" s="49" t="n">
        <f aca="false">IF(F122,F122*20+100,0)</f>
        <v>0</v>
      </c>
      <c r="H122" s="49"/>
      <c r="I122" s="49" t="n">
        <f aca="false">IF(H122,H122*20+100,0)</f>
        <v>0</v>
      </c>
      <c r="J122" s="49"/>
      <c r="K122" s="49" t="n">
        <f aca="false">IF(J122,J122*20+100,0)</f>
        <v>0</v>
      </c>
      <c r="L122" s="49"/>
      <c r="M122" s="49" t="n">
        <f aca="false">IF(L122,L122*20+100,0)</f>
        <v>0</v>
      </c>
      <c r="N122" s="49"/>
      <c r="O122" s="49" t="n">
        <f aca="false">IF(N122,N122*20+100,0)</f>
        <v>0</v>
      </c>
      <c r="P122" s="49"/>
      <c r="Q122" s="50" t="n">
        <f aca="false">IF(P122,P122*20+100,0)</f>
        <v>0</v>
      </c>
      <c r="R122" s="49"/>
      <c r="S122" s="51" t="n">
        <f aca="false">IF(R122,R122*20+100,0)</f>
        <v>0</v>
      </c>
    </row>
    <row r="123" customFormat="false" ht="15" hidden="false" customHeight="false" outlineLevel="0" collapsed="false">
      <c r="A123" s="55" t="n">
        <v>30</v>
      </c>
      <c r="B123" s="49"/>
      <c r="C123" s="49" t="n">
        <f aca="false">IF(B123,B123*20+100,0)</f>
        <v>0</v>
      </c>
      <c r="D123" s="49"/>
      <c r="E123" s="49" t="n">
        <f aca="false">IF(D123,D123*20+100,0)</f>
        <v>0</v>
      </c>
      <c r="F123" s="49"/>
      <c r="G123" s="49" t="n">
        <f aca="false">IF(F123,F123*20+100,0)</f>
        <v>0</v>
      </c>
      <c r="H123" s="49"/>
      <c r="I123" s="49" t="n">
        <f aca="false">IF(H123,H123*20+100,0)</f>
        <v>0</v>
      </c>
      <c r="J123" s="49"/>
      <c r="K123" s="49" t="n">
        <f aca="false">IF(J123,J123*20+100,0)</f>
        <v>0</v>
      </c>
      <c r="L123" s="49"/>
      <c r="M123" s="49" t="n">
        <f aca="false">IF(L123,L123*20+100,0)</f>
        <v>0</v>
      </c>
      <c r="N123" s="49"/>
      <c r="O123" s="49" t="n">
        <f aca="false">IF(N123,N123*20+100,0)</f>
        <v>0</v>
      </c>
      <c r="P123" s="49"/>
      <c r="Q123" s="50" t="n">
        <f aca="false">IF(P123,P123*20+100,0)</f>
        <v>0</v>
      </c>
      <c r="R123" s="49"/>
      <c r="S123" s="51" t="n">
        <f aca="false">IF(R123,R123*20+100,0)</f>
        <v>0</v>
      </c>
    </row>
    <row r="124" customFormat="false" ht="15" hidden="false" customHeight="true" outlineLevel="0" collapsed="false">
      <c r="A124" s="69"/>
      <c r="B124" s="57" t="s">
        <v>53</v>
      </c>
      <c r="C124" s="50" t="n">
        <f aca="false">SUM(C94:C123)</f>
        <v>880</v>
      </c>
      <c r="D124" s="57" t="s">
        <v>53</v>
      </c>
      <c r="E124" s="50" t="n">
        <f aca="false">SUM(E94:E123)</f>
        <v>600</v>
      </c>
      <c r="F124" s="57" t="s">
        <v>53</v>
      </c>
      <c r="G124" s="50" t="n">
        <f aca="false">SUM(G94:G123)</f>
        <v>1400</v>
      </c>
      <c r="H124" s="57" t="s">
        <v>53</v>
      </c>
      <c r="I124" s="50" t="n">
        <f aca="false">SUM(I94:I123)</f>
        <v>0</v>
      </c>
      <c r="J124" s="57" t="s">
        <v>53</v>
      </c>
      <c r="K124" s="50" t="n">
        <f aca="false">SUM(K94:K123)</f>
        <v>0</v>
      </c>
      <c r="L124" s="57" t="s">
        <v>53</v>
      </c>
      <c r="M124" s="50" t="n">
        <f aca="false">SUM(M94:M123)</f>
        <v>760</v>
      </c>
      <c r="N124" s="57" t="s">
        <v>53</v>
      </c>
      <c r="O124" s="50" t="n">
        <f aca="false">SUM(O94:O123)</f>
        <v>1280</v>
      </c>
      <c r="P124" s="57" t="s">
        <v>53</v>
      </c>
      <c r="Q124" s="50" t="n">
        <f aca="false">SUM(Q94:Q123)</f>
        <v>0</v>
      </c>
      <c r="R124" s="57" t="s">
        <v>53</v>
      </c>
      <c r="S124" s="51" t="n">
        <f aca="false">SUM(S94:S123)</f>
        <v>0</v>
      </c>
    </row>
    <row r="125" customFormat="false" ht="15" hidden="false" customHeight="false" outlineLevel="0" collapsed="false">
      <c r="A125" s="72"/>
      <c r="B125" s="57"/>
      <c r="C125" s="50"/>
      <c r="D125" s="57"/>
      <c r="E125" s="50"/>
      <c r="F125" s="57"/>
      <c r="G125" s="50"/>
      <c r="H125" s="57"/>
      <c r="I125" s="50"/>
      <c r="J125" s="57"/>
      <c r="K125" s="50"/>
      <c r="L125" s="57"/>
      <c r="M125" s="50"/>
      <c r="N125" s="57"/>
      <c r="O125" s="50"/>
      <c r="P125" s="57"/>
      <c r="Q125" s="50"/>
      <c r="R125" s="57"/>
      <c r="S125" s="51"/>
    </row>
    <row r="126" customFormat="false" ht="34.5" hidden="false" customHeight="true" outlineLevel="0" collapsed="false">
      <c r="A126" s="70"/>
      <c r="B126" s="59" t="s">
        <v>54</v>
      </c>
      <c r="C126" s="58" t="n">
        <f aca="false">IF(C124=0,9,RANK(C124,$C$124:$S$125,0))</f>
        <v>3</v>
      </c>
      <c r="D126" s="59" t="s">
        <v>54</v>
      </c>
      <c r="E126" s="58" t="n">
        <f aca="false">IF(E124=0,9,RANK(E124,$C$124:$S$125,0))</f>
        <v>5</v>
      </c>
      <c r="F126" s="59" t="s">
        <v>54</v>
      </c>
      <c r="G126" s="58" t="n">
        <f aca="false">IF(G124=0,9,RANK(G124,$C$124:$S$125,0))</f>
        <v>1</v>
      </c>
      <c r="H126" s="59" t="s">
        <v>54</v>
      </c>
      <c r="I126" s="58" t="n">
        <f aca="false">IF(I124=0,9,RANK(I124,$C$124:$S$125,0))</f>
        <v>9</v>
      </c>
      <c r="J126" s="59" t="s">
        <v>54</v>
      </c>
      <c r="K126" s="58" t="n">
        <f aca="false">IF(K124=0,9,RANK(K124,$C$124:$S$125,0))</f>
        <v>9</v>
      </c>
      <c r="L126" s="59" t="s">
        <v>54</v>
      </c>
      <c r="M126" s="58" t="n">
        <f aca="false">IF(M124=0,9,RANK(M124,$C$124:$S$125,0))</f>
        <v>4</v>
      </c>
      <c r="N126" s="59" t="s">
        <v>54</v>
      </c>
      <c r="O126" s="58" t="n">
        <f aca="false">IF(O124=0,9,RANK(O124,$C$124:$S$125,0))</f>
        <v>2</v>
      </c>
      <c r="P126" s="59" t="s">
        <v>54</v>
      </c>
      <c r="Q126" s="58" t="n">
        <f aca="false">IF(Q124=0,9,RANK(Q124,$C$124:$S$125,0))</f>
        <v>9</v>
      </c>
      <c r="R126" s="59" t="s">
        <v>54</v>
      </c>
      <c r="S126" s="66" t="n">
        <f aca="false">IF(S124=0,9,RANK(S124,$C$124:$S$125,0))</f>
        <v>9</v>
      </c>
    </row>
    <row r="127" customFormat="false" ht="15" hidden="false" customHeight="true" outlineLevel="0" collapsed="false">
      <c r="A127" s="60"/>
      <c r="B127" s="57" t="s">
        <v>55</v>
      </c>
      <c r="C127" s="49" t="n">
        <f aca="false">COUNT(B94:B123)</f>
        <v>1</v>
      </c>
      <c r="D127" s="57" t="s">
        <v>55</v>
      </c>
      <c r="E127" s="49" t="n">
        <f aca="false">COUNT(D94:D123)</f>
        <v>1</v>
      </c>
      <c r="F127" s="57" t="s">
        <v>55</v>
      </c>
      <c r="G127" s="49" t="n">
        <f aca="false">COUNT(F94:F123)</f>
        <v>2</v>
      </c>
      <c r="H127" s="57" t="s">
        <v>55</v>
      </c>
      <c r="I127" s="49" t="n">
        <f aca="false">COUNT(H94:H123)</f>
        <v>0</v>
      </c>
      <c r="J127" s="57" t="s">
        <v>55</v>
      </c>
      <c r="K127" s="49" t="n">
        <f aca="false">COUNT(J94:J123)</f>
        <v>0</v>
      </c>
      <c r="L127" s="57" t="s">
        <v>55</v>
      </c>
      <c r="M127" s="49" t="n">
        <f aca="false">COUNT(L94:L123)</f>
        <v>1</v>
      </c>
      <c r="N127" s="57" t="s">
        <v>55</v>
      </c>
      <c r="O127" s="49" t="n">
        <f aca="false">COUNT(N94:N123)</f>
        <v>2</v>
      </c>
      <c r="P127" s="57" t="s">
        <v>55</v>
      </c>
      <c r="Q127" s="50" t="n">
        <f aca="false">COUNT(P94:P123)</f>
        <v>0</v>
      </c>
      <c r="R127" s="57" t="s">
        <v>55</v>
      </c>
      <c r="S127" s="51" t="n">
        <f aca="false">COUNT(R94:R123)</f>
        <v>0</v>
      </c>
    </row>
    <row r="128" customFormat="false" ht="15" hidden="false" customHeight="false" outlineLevel="0" collapsed="false">
      <c r="A128" s="60"/>
      <c r="B128" s="57"/>
      <c r="C128" s="49"/>
      <c r="D128" s="57"/>
      <c r="E128" s="49"/>
      <c r="F128" s="57"/>
      <c r="G128" s="49"/>
      <c r="H128" s="57"/>
      <c r="I128" s="49"/>
      <c r="J128" s="57"/>
      <c r="K128" s="49"/>
      <c r="L128" s="57"/>
      <c r="M128" s="49"/>
      <c r="N128" s="57"/>
      <c r="O128" s="49"/>
      <c r="P128" s="57"/>
      <c r="Q128" s="50"/>
      <c r="R128" s="57"/>
      <c r="S128" s="51"/>
    </row>
    <row r="129" customFormat="false" ht="15" hidden="false" customHeight="false" outlineLevel="0" collapsed="false">
      <c r="A129" s="60"/>
      <c r="B129" s="57"/>
      <c r="C129" s="49"/>
      <c r="D129" s="57"/>
      <c r="E129" s="49"/>
      <c r="F129" s="57"/>
      <c r="G129" s="49"/>
      <c r="H129" s="57"/>
      <c r="I129" s="49"/>
      <c r="J129" s="57"/>
      <c r="K129" s="49"/>
      <c r="L129" s="57"/>
      <c r="M129" s="49"/>
      <c r="N129" s="57"/>
      <c r="O129" s="49"/>
      <c r="P129" s="57"/>
      <c r="Q129" s="50"/>
      <c r="R129" s="57"/>
      <c r="S129" s="51"/>
    </row>
    <row r="130" customFormat="false" ht="41.25" hidden="false" customHeight="true" outlineLevel="0" collapsed="false">
      <c r="A130" s="61"/>
      <c r="B130" s="62" t="s">
        <v>56</v>
      </c>
      <c r="C130" s="62" t="n">
        <f aca="false">MAX(B94:B123)</f>
        <v>39</v>
      </c>
      <c r="D130" s="62" t="s">
        <v>56</v>
      </c>
      <c r="E130" s="62" t="n">
        <f aca="false">MAX(D94:D123)</f>
        <v>25</v>
      </c>
      <c r="F130" s="62" t="s">
        <v>56</v>
      </c>
      <c r="G130" s="62" t="n">
        <f aca="false">MAX(F94:F123)</f>
        <v>39</v>
      </c>
      <c r="H130" s="62" t="s">
        <v>56</v>
      </c>
      <c r="I130" s="62" t="n">
        <f aca="false">MAX(H94:H123)</f>
        <v>0</v>
      </c>
      <c r="J130" s="62" t="s">
        <v>56</v>
      </c>
      <c r="K130" s="62" t="n">
        <f aca="false">MAX(J94:J123)</f>
        <v>0</v>
      </c>
      <c r="L130" s="62" t="s">
        <v>56</v>
      </c>
      <c r="M130" s="62" t="n">
        <f aca="false">MAX(L94:L123)</f>
        <v>33</v>
      </c>
      <c r="N130" s="62" t="s">
        <v>56</v>
      </c>
      <c r="O130" s="62" t="n">
        <f aca="false">MAX(N94:N123)</f>
        <v>32</v>
      </c>
      <c r="P130" s="62" t="s">
        <v>56</v>
      </c>
      <c r="Q130" s="67" t="n">
        <f aca="false">MAX(P94:P123)</f>
        <v>0</v>
      </c>
      <c r="R130" s="62" t="s">
        <v>56</v>
      </c>
      <c r="S130" s="68" t="n">
        <f aca="false">MAX(R94:R123)</f>
        <v>0</v>
      </c>
    </row>
  </sheetData>
  <mergeCells count="132">
    <mergeCell ref="A1:S2"/>
    <mergeCell ref="A3:A5"/>
    <mergeCell ref="B3:C3"/>
    <mergeCell ref="D3:E3"/>
    <mergeCell ref="F3:G3"/>
    <mergeCell ref="H3:I3"/>
    <mergeCell ref="J3:K3"/>
    <mergeCell ref="L3:M3"/>
    <mergeCell ref="N3:O3"/>
    <mergeCell ref="P3:Q3"/>
    <mergeCell ref="R3:S3"/>
    <mergeCell ref="B4:C4"/>
    <mergeCell ref="D4:E4"/>
    <mergeCell ref="F4:G4"/>
    <mergeCell ref="H4:I4"/>
    <mergeCell ref="J4:K4"/>
    <mergeCell ref="L4:M4"/>
    <mergeCell ref="N4:O4"/>
    <mergeCell ref="P4:Q4"/>
    <mergeCell ref="R4:S4"/>
    <mergeCell ref="B38:B40"/>
    <mergeCell ref="C38:C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A45:S46"/>
    <mergeCell ref="A47:A49"/>
    <mergeCell ref="B47:C47"/>
    <mergeCell ref="D47:E47"/>
    <mergeCell ref="F47:G47"/>
    <mergeCell ref="H47:I47"/>
    <mergeCell ref="J47:K47"/>
    <mergeCell ref="L47:M47"/>
    <mergeCell ref="N47:O47"/>
    <mergeCell ref="P47:Q47"/>
    <mergeCell ref="R47:S47"/>
    <mergeCell ref="B48:C48"/>
    <mergeCell ref="D48:E48"/>
    <mergeCell ref="F48:G48"/>
    <mergeCell ref="H48:I48"/>
    <mergeCell ref="J48:K48"/>
    <mergeCell ref="L48:M48"/>
    <mergeCell ref="N48:O48"/>
    <mergeCell ref="P48:Q48"/>
    <mergeCell ref="R48:S48"/>
    <mergeCell ref="B82:B84"/>
    <mergeCell ref="C82:C84"/>
    <mergeCell ref="D82:D84"/>
    <mergeCell ref="E82:E84"/>
    <mergeCell ref="F82:F84"/>
    <mergeCell ref="G82:G84"/>
    <mergeCell ref="H82:H84"/>
    <mergeCell ref="I82:I84"/>
    <mergeCell ref="J82:J84"/>
    <mergeCell ref="K82:K84"/>
    <mergeCell ref="L82:L84"/>
    <mergeCell ref="M82:M84"/>
    <mergeCell ref="N82:N84"/>
    <mergeCell ref="O82:O84"/>
    <mergeCell ref="P82:P84"/>
    <mergeCell ref="Q82:Q84"/>
    <mergeCell ref="R82:R84"/>
    <mergeCell ref="S82:S84"/>
    <mergeCell ref="A89:S90"/>
    <mergeCell ref="A91:A93"/>
    <mergeCell ref="B91:C91"/>
    <mergeCell ref="D91:E91"/>
    <mergeCell ref="F91:G91"/>
    <mergeCell ref="H91:I91"/>
    <mergeCell ref="J91:K91"/>
    <mergeCell ref="L91:M91"/>
    <mergeCell ref="N91:O91"/>
    <mergeCell ref="P91:Q91"/>
    <mergeCell ref="R91:S91"/>
    <mergeCell ref="B92:C92"/>
    <mergeCell ref="D92:E92"/>
    <mergeCell ref="F92:G92"/>
    <mergeCell ref="H92:I92"/>
    <mergeCell ref="J92:K92"/>
    <mergeCell ref="L92:M92"/>
    <mergeCell ref="N92:O92"/>
    <mergeCell ref="P92:Q92"/>
    <mergeCell ref="R92:S92"/>
    <mergeCell ref="B124:B125"/>
    <mergeCell ref="C124:C125"/>
    <mergeCell ref="D124:D125"/>
    <mergeCell ref="E124:E125"/>
    <mergeCell ref="F124:F125"/>
    <mergeCell ref="G124:G125"/>
    <mergeCell ref="H124:H125"/>
    <mergeCell ref="I124:I125"/>
    <mergeCell ref="J124:J125"/>
    <mergeCell ref="K124:K125"/>
    <mergeCell ref="L124:L125"/>
    <mergeCell ref="M124:M125"/>
    <mergeCell ref="N124:N125"/>
    <mergeCell ref="O124:O125"/>
    <mergeCell ref="P124:P125"/>
    <mergeCell ref="Q124:Q125"/>
    <mergeCell ref="R124:R125"/>
    <mergeCell ref="S124:S125"/>
    <mergeCell ref="B127:B129"/>
    <mergeCell ref="C127:C129"/>
    <mergeCell ref="D127:D129"/>
    <mergeCell ref="E127:E129"/>
    <mergeCell ref="F127:F129"/>
    <mergeCell ref="G127:G129"/>
    <mergeCell ref="H127:H129"/>
    <mergeCell ref="I127:I129"/>
    <mergeCell ref="J127:J129"/>
    <mergeCell ref="K127:K129"/>
    <mergeCell ref="L127:L129"/>
    <mergeCell ref="M127:M129"/>
    <mergeCell ref="N127:N129"/>
    <mergeCell ref="O127:O129"/>
    <mergeCell ref="P127:P129"/>
    <mergeCell ref="Q127:Q129"/>
    <mergeCell ref="R127:R129"/>
    <mergeCell ref="S127:S1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9"/>
  <sheetViews>
    <sheetView showFormulas="false" showGridLines="true" showRowColHeaders="true" showZeros="true" rightToLeft="false" tabSelected="false" showOutlineSymbols="true" defaultGridColor="true" view="normal" topLeftCell="A87" colorId="64" zoomScale="80" zoomScaleNormal="80" zoomScalePageLayoutView="100" workbookViewId="0">
      <selection pane="topLeft" activeCell="P95" activeCellId="0" sqref="P95"/>
    </sheetView>
  </sheetViews>
  <sheetFormatPr defaultColWidth="8.54296875" defaultRowHeight="15" customHeight="false" zeroHeight="false" outlineLevelRow="0" outlineLevelCol="0"/>
  <cols>
    <col collapsed="false" customWidth="true" hidden="false" outlineLevel="0" max="19" min="1" style="0" width="11.71"/>
  </cols>
  <sheetData>
    <row r="1" customFormat="false" ht="15" hidden="false" customHeight="true" outlineLevel="0" collapsed="false">
      <c r="A1" s="73" t="s">
        <v>62</v>
      </c>
      <c r="B1" s="73"/>
      <c r="C1" s="73"/>
      <c r="D1" s="73"/>
      <c r="E1" s="73"/>
      <c r="F1" s="73"/>
      <c r="G1" s="73"/>
      <c r="H1" s="73"/>
      <c r="I1" s="73"/>
      <c r="J1" s="73"/>
      <c r="K1" s="73"/>
      <c r="L1" s="73"/>
      <c r="M1" s="73"/>
      <c r="N1" s="73"/>
      <c r="O1" s="73"/>
      <c r="P1" s="73"/>
      <c r="Q1" s="73"/>
      <c r="R1" s="73"/>
      <c r="S1" s="73"/>
    </row>
    <row r="2" customFormat="false" ht="15.75" hidden="false" customHeight="true" outlineLevel="0" collapsed="false">
      <c r="A2" s="73"/>
      <c r="B2" s="73"/>
      <c r="C2" s="73"/>
      <c r="D2" s="73"/>
      <c r="E2" s="73"/>
      <c r="F2" s="73"/>
      <c r="G2" s="73"/>
      <c r="H2" s="73"/>
      <c r="I2" s="73"/>
      <c r="J2" s="73"/>
      <c r="K2" s="73"/>
      <c r="L2" s="73"/>
      <c r="M2" s="73"/>
      <c r="N2" s="73"/>
      <c r="O2" s="73"/>
      <c r="P2" s="73"/>
      <c r="Q2" s="73"/>
      <c r="R2" s="73"/>
      <c r="S2" s="73"/>
    </row>
    <row r="3" customFormat="false" ht="15" hidden="false" customHeight="true" outlineLevel="0" collapsed="false">
      <c r="A3" s="74" t="s">
        <v>49</v>
      </c>
      <c r="B3" s="75" t="s">
        <v>50</v>
      </c>
      <c r="C3" s="75"/>
      <c r="D3" s="75" t="s">
        <v>50</v>
      </c>
      <c r="E3" s="75"/>
      <c r="F3" s="75" t="s">
        <v>50</v>
      </c>
      <c r="G3" s="75"/>
      <c r="H3" s="75" t="s">
        <v>50</v>
      </c>
      <c r="I3" s="75"/>
      <c r="J3" s="75" t="s">
        <v>50</v>
      </c>
      <c r="K3" s="75"/>
      <c r="L3" s="75" t="s">
        <v>50</v>
      </c>
      <c r="M3" s="75"/>
      <c r="N3" s="75" t="s">
        <v>50</v>
      </c>
      <c r="O3" s="75"/>
      <c r="P3" s="76" t="s">
        <v>50</v>
      </c>
      <c r="Q3" s="76"/>
      <c r="R3" s="51" t="s">
        <v>50</v>
      </c>
      <c r="S3" s="51"/>
    </row>
    <row r="4" customFormat="false" ht="17.35" hidden="false" customHeight="false" outlineLevel="0" collapsed="false">
      <c r="A4" s="74"/>
      <c r="B4" s="52" t="str">
        <f aca="false">TABELA!K10</f>
        <v>NIKOLA TREBJEŠANIN</v>
      </c>
      <c r="C4" s="52"/>
      <c r="D4" s="52" t="str">
        <f aca="false">TABELA!K11</f>
        <v>NIKOLA POPOVIĆ</v>
      </c>
      <c r="E4" s="52"/>
      <c r="F4" s="52" t="str">
        <f aca="false">TABELA!K12</f>
        <v>MARKO BAKIĆ</v>
      </c>
      <c r="G4" s="52"/>
      <c r="H4" s="52" t="str">
        <f aca="false">TABELA!K13</f>
        <v>BOGDAN GOVEDARICA</v>
      </c>
      <c r="I4" s="52"/>
      <c r="J4" s="52" t="str">
        <f aca="false">TABELA!K14</f>
        <v>GORAN OBRENOVIĆ</v>
      </c>
      <c r="K4" s="52"/>
      <c r="L4" s="52" t="str">
        <f aca="false">TABELA!K15</f>
        <v>MILAN FUŠTIĆ</v>
      </c>
      <c r="M4" s="52"/>
      <c r="N4" s="52" t="str">
        <f aca="false">TABELA!K16</f>
        <v>BOŠKO VULEVIĆ</v>
      </c>
      <c r="O4" s="52"/>
      <c r="P4" s="53" t="str">
        <f aca="false">TABELA!K17</f>
        <v>MUMIN HEKALO</v>
      </c>
      <c r="Q4" s="53"/>
      <c r="R4" s="54" t="str">
        <f aca="false">TABELA!K18</f>
        <v>OMAR BAŠIĆ</v>
      </c>
      <c r="S4" s="54"/>
    </row>
    <row r="5" customFormat="false" ht="15" hidden="false" customHeight="false" outlineLevel="0" collapsed="false">
      <c r="A5" s="74"/>
      <c r="B5" s="49" t="s">
        <v>51</v>
      </c>
      <c r="C5" s="49" t="s">
        <v>52</v>
      </c>
      <c r="D5" s="49" t="s">
        <v>51</v>
      </c>
      <c r="E5" s="49" t="s">
        <v>52</v>
      </c>
      <c r="F5" s="49" t="s">
        <v>51</v>
      </c>
      <c r="G5" s="49" t="s">
        <v>52</v>
      </c>
      <c r="H5" s="49" t="s">
        <v>51</v>
      </c>
      <c r="I5" s="49" t="s">
        <v>52</v>
      </c>
      <c r="J5" s="49" t="s">
        <v>51</v>
      </c>
      <c r="K5" s="49" t="s">
        <v>52</v>
      </c>
      <c r="L5" s="49" t="s">
        <v>51</v>
      </c>
      <c r="M5" s="49" t="s">
        <v>52</v>
      </c>
      <c r="N5" s="49" t="s">
        <v>51</v>
      </c>
      <c r="O5" s="49" t="s">
        <v>52</v>
      </c>
      <c r="P5" s="49" t="s">
        <v>51</v>
      </c>
      <c r="Q5" s="50" t="s">
        <v>52</v>
      </c>
      <c r="R5" s="49" t="s">
        <v>51</v>
      </c>
      <c r="S5" s="51" t="s">
        <v>52</v>
      </c>
    </row>
    <row r="6" customFormat="false" ht="15" hidden="false" customHeight="false" outlineLevel="0" collapsed="false">
      <c r="A6" s="55" t="n">
        <v>1</v>
      </c>
      <c r="B6" s="49" t="n">
        <v>28</v>
      </c>
      <c r="C6" s="49" t="n">
        <f aca="false">IF(B6,B6*20+100,0)</f>
        <v>660</v>
      </c>
      <c r="D6" s="49" t="n">
        <v>28</v>
      </c>
      <c r="E6" s="49" t="n">
        <f aca="false">IF(D6,D6*20+100,0)</f>
        <v>660</v>
      </c>
      <c r="F6" s="49" t="n">
        <v>26</v>
      </c>
      <c r="G6" s="49" t="n">
        <f aca="false">IF(F6,F6*20+100,0)</f>
        <v>620</v>
      </c>
      <c r="H6" s="49" t="n">
        <v>30</v>
      </c>
      <c r="I6" s="49" t="n">
        <f aca="false">IF(H6,H6*20+100,0)</f>
        <v>700</v>
      </c>
      <c r="J6" s="49" t="n">
        <v>36</v>
      </c>
      <c r="K6" s="49" t="n">
        <f aca="false">IF(J6,J6*20+100,0)</f>
        <v>820</v>
      </c>
      <c r="L6" s="49" t="n">
        <v>30</v>
      </c>
      <c r="M6" s="49" t="n">
        <f aca="false">IF(L6,L6*20+100,0)</f>
        <v>700</v>
      </c>
      <c r="N6" s="49"/>
      <c r="O6" s="49" t="n">
        <f aca="false">IF(N6,N6*20+100,0)</f>
        <v>0</v>
      </c>
      <c r="P6" s="49"/>
      <c r="Q6" s="50" t="n">
        <f aca="false">IF(P6,P6*20+100,0)</f>
        <v>0</v>
      </c>
      <c r="R6" s="49" t="n">
        <v>27</v>
      </c>
      <c r="S6" s="51" t="n">
        <f aca="false">IF(R6,R6*20+100,0)</f>
        <v>640</v>
      </c>
    </row>
    <row r="7" customFormat="false" ht="15" hidden="false" customHeight="false" outlineLevel="0" collapsed="false">
      <c r="A7" s="55" t="n">
        <v>2</v>
      </c>
      <c r="B7" s="49" t="n">
        <v>27</v>
      </c>
      <c r="C7" s="49" t="n">
        <f aca="false">IF(B7,B7*20+100,0)</f>
        <v>640</v>
      </c>
      <c r="D7" s="49" t="n">
        <v>20</v>
      </c>
      <c r="E7" s="49" t="n">
        <f aca="false">IF(D7,D7*20+100,0)</f>
        <v>500</v>
      </c>
      <c r="F7" s="49" t="n">
        <v>23</v>
      </c>
      <c r="G7" s="49" t="n">
        <f aca="false">IF(F7,F7*20+100,0)</f>
        <v>560</v>
      </c>
      <c r="H7" s="49" t="n">
        <v>34</v>
      </c>
      <c r="I7" s="49" t="n">
        <f aca="false">IF(H7,H7*20+100,0)</f>
        <v>780</v>
      </c>
      <c r="J7" s="49" t="n">
        <v>27</v>
      </c>
      <c r="K7" s="49" t="n">
        <f aca="false">IF(J7,J7*20+100,0)</f>
        <v>640</v>
      </c>
      <c r="L7" s="49" t="n">
        <v>44</v>
      </c>
      <c r="M7" s="49" t="n">
        <f aca="false">IF(L7,L7*20+100,0)</f>
        <v>980</v>
      </c>
      <c r="N7" s="49"/>
      <c r="O7" s="49" t="n">
        <f aca="false">IF(N7,N7*20+100,0)</f>
        <v>0</v>
      </c>
      <c r="P7" s="49"/>
      <c r="Q7" s="50" t="n">
        <f aca="false">IF(P7,P7*20+100,0)</f>
        <v>0</v>
      </c>
      <c r="R7" s="49"/>
      <c r="S7" s="51" t="n">
        <f aca="false">IF(R7,R7*20+100,0)</f>
        <v>0</v>
      </c>
    </row>
    <row r="8" customFormat="false" ht="15" hidden="false" customHeight="false" outlineLevel="0" collapsed="false">
      <c r="A8" s="55" t="n">
        <v>3</v>
      </c>
      <c r="B8" s="49" t="n">
        <v>28</v>
      </c>
      <c r="C8" s="49" t="n">
        <f aca="false">IF(B8,B8*20+100,0)</f>
        <v>660</v>
      </c>
      <c r="D8" s="49"/>
      <c r="E8" s="49" t="n">
        <f aca="false">IF(D8,D8*20+100,0)</f>
        <v>0</v>
      </c>
      <c r="F8" s="49"/>
      <c r="G8" s="49" t="n">
        <f aca="false">IF(F8,F8*20+100,0)</f>
        <v>0</v>
      </c>
      <c r="H8" s="49" t="n">
        <v>29</v>
      </c>
      <c r="I8" s="49" t="n">
        <f aca="false">IF(H8,H8*20+100,0)</f>
        <v>680</v>
      </c>
      <c r="J8" s="49" t="n">
        <v>26</v>
      </c>
      <c r="K8" s="49" t="n">
        <f aca="false">IF(J8,J8*20+100,0)</f>
        <v>620</v>
      </c>
      <c r="L8" s="49"/>
      <c r="M8" s="49" t="n">
        <f aca="false">IF(L8,L8*20+100,0)</f>
        <v>0</v>
      </c>
      <c r="N8" s="49"/>
      <c r="O8" s="49" t="n">
        <f aca="false">IF(N8,N8*20+100,0)</f>
        <v>0</v>
      </c>
      <c r="P8" s="49"/>
      <c r="Q8" s="50" t="n">
        <f aca="false">IF(P8,P8*20+100,0)</f>
        <v>0</v>
      </c>
      <c r="R8" s="49"/>
      <c r="S8" s="51" t="n">
        <f aca="false">IF(R8,R8*20+100,0)</f>
        <v>0</v>
      </c>
    </row>
    <row r="9" customFormat="false" ht="15" hidden="false" customHeight="false" outlineLevel="0" collapsed="false">
      <c r="A9" s="55" t="n">
        <v>4</v>
      </c>
      <c r="B9" s="49"/>
      <c r="C9" s="49" t="n">
        <f aca="false">IF(B9,B9*20+100,0)</f>
        <v>0</v>
      </c>
      <c r="D9" s="49"/>
      <c r="E9" s="49" t="n">
        <f aca="false">IF(D9,D9*20+100,0)</f>
        <v>0</v>
      </c>
      <c r="F9" s="49"/>
      <c r="G9" s="49" t="n">
        <f aca="false">IF(F9,F9*20+100,0)</f>
        <v>0</v>
      </c>
      <c r="H9" s="49"/>
      <c r="I9" s="49" t="n">
        <f aca="false">IF(H9,H9*20+100,0)</f>
        <v>0</v>
      </c>
      <c r="J9" s="49" t="n">
        <v>22</v>
      </c>
      <c r="K9" s="49" t="n">
        <f aca="false">IF(J9,J9*20+100,0)</f>
        <v>540</v>
      </c>
      <c r="L9" s="49"/>
      <c r="M9" s="49" t="n">
        <f aca="false">IF(L9,L9*20+100,0)</f>
        <v>0</v>
      </c>
      <c r="N9" s="49"/>
      <c r="O9" s="49" t="n">
        <f aca="false">IF(N9,N9*20+100,0)</f>
        <v>0</v>
      </c>
      <c r="P9" s="49"/>
      <c r="Q9" s="50" t="n">
        <f aca="false">IF(P9,P9*20+100,0)</f>
        <v>0</v>
      </c>
      <c r="R9" s="49"/>
      <c r="S9" s="51" t="n">
        <f aca="false">IF(R9,R9*20+100,0)</f>
        <v>0</v>
      </c>
    </row>
    <row r="10" customFormat="false" ht="15" hidden="false" customHeight="false" outlineLevel="0" collapsed="false">
      <c r="A10" s="55" t="n">
        <v>5</v>
      </c>
      <c r="B10" s="49"/>
      <c r="C10" s="49" t="n">
        <f aca="false">IF(B10,B10*20+100,0)</f>
        <v>0</v>
      </c>
      <c r="D10" s="49"/>
      <c r="E10" s="49" t="n">
        <f aca="false">IF(D10,D10*20+100,0)</f>
        <v>0</v>
      </c>
      <c r="F10" s="49"/>
      <c r="G10" s="49" t="n">
        <f aca="false">IF(F10,F10*20+100,0)</f>
        <v>0</v>
      </c>
      <c r="H10" s="49"/>
      <c r="I10" s="49" t="n">
        <f aca="false">IF(H10,H10*20+100,0)</f>
        <v>0</v>
      </c>
      <c r="J10" s="49" t="n">
        <v>29</v>
      </c>
      <c r="K10" s="49" t="n">
        <f aca="false">IF(J10,J10*20+100,0)</f>
        <v>680</v>
      </c>
      <c r="L10" s="49"/>
      <c r="M10" s="49" t="n">
        <f aca="false">IF(L10,L10*20+100,0)</f>
        <v>0</v>
      </c>
      <c r="N10" s="49"/>
      <c r="O10" s="49" t="n">
        <f aca="false">IF(N10,N10*20+100,0)</f>
        <v>0</v>
      </c>
      <c r="P10" s="49"/>
      <c r="Q10" s="50" t="n">
        <f aca="false">IF(P10,P10*20+100,0)</f>
        <v>0</v>
      </c>
      <c r="R10" s="49"/>
      <c r="S10" s="51" t="n">
        <f aca="false">IF(R10,R10*20+100,0)</f>
        <v>0</v>
      </c>
    </row>
    <row r="11" customFormat="false" ht="15" hidden="false" customHeight="false" outlineLevel="0" collapsed="false">
      <c r="A11" s="55" t="n">
        <v>6</v>
      </c>
      <c r="B11" s="49"/>
      <c r="C11" s="49" t="n">
        <f aca="false">IF(B11,B11*20+100,0)</f>
        <v>0</v>
      </c>
      <c r="D11" s="49"/>
      <c r="E11" s="49" t="n">
        <f aca="false">IF(D11,D11*20+100,0)</f>
        <v>0</v>
      </c>
      <c r="F11" s="49"/>
      <c r="G11" s="49" t="n">
        <f aca="false">IF(F11,F11*20+100,0)</f>
        <v>0</v>
      </c>
      <c r="H11" s="49"/>
      <c r="I11" s="49" t="n">
        <f aca="false">IF(H11,H11*20+100,0)</f>
        <v>0</v>
      </c>
      <c r="J11" s="49" t="n">
        <v>21</v>
      </c>
      <c r="K11" s="49" t="n">
        <f aca="false">IF(J11,J11*20+100,0)</f>
        <v>520</v>
      </c>
      <c r="L11" s="49"/>
      <c r="M11" s="49" t="n">
        <f aca="false">IF(L11,L11*20+100,0)</f>
        <v>0</v>
      </c>
      <c r="N11" s="49"/>
      <c r="O11" s="49" t="n">
        <f aca="false">IF(N11,N11*20+100,0)</f>
        <v>0</v>
      </c>
      <c r="P11" s="49"/>
      <c r="Q11" s="50" t="n">
        <f aca="false">IF(P11,P11*20+100,0)</f>
        <v>0</v>
      </c>
      <c r="R11" s="49"/>
      <c r="S11" s="51" t="n">
        <f aca="false">IF(R11,R11*20+100,0)</f>
        <v>0</v>
      </c>
    </row>
    <row r="12" customFormat="false" ht="15" hidden="false" customHeight="false" outlineLevel="0" collapsed="false">
      <c r="A12" s="55" t="n">
        <v>7</v>
      </c>
      <c r="B12" s="49"/>
      <c r="C12" s="49" t="n">
        <f aca="false">IF(B12,B12*20+100,0)</f>
        <v>0</v>
      </c>
      <c r="D12" s="49"/>
      <c r="E12" s="49" t="n">
        <f aca="false">IF(D12,D12*20+100,0)</f>
        <v>0</v>
      </c>
      <c r="F12" s="49"/>
      <c r="G12" s="49" t="n">
        <f aca="false">IF(F12,F12*20+100,0)</f>
        <v>0</v>
      </c>
      <c r="H12" s="49"/>
      <c r="I12" s="49" t="n">
        <f aca="false">IF(H12,H12*20+100,0)</f>
        <v>0</v>
      </c>
      <c r="J12" s="49"/>
      <c r="K12" s="49" t="n">
        <f aca="false">IF(J12,J12*20+100,0)</f>
        <v>0</v>
      </c>
      <c r="L12" s="49"/>
      <c r="M12" s="49" t="n">
        <f aca="false">IF(L12,L12*20+100,0)</f>
        <v>0</v>
      </c>
      <c r="N12" s="49"/>
      <c r="O12" s="49" t="n">
        <f aca="false">IF(N12,N12*20+100,0)</f>
        <v>0</v>
      </c>
      <c r="P12" s="49"/>
      <c r="Q12" s="50" t="n">
        <f aca="false">IF(P12,P12*20+100,0)</f>
        <v>0</v>
      </c>
      <c r="R12" s="49"/>
      <c r="S12" s="51" t="n">
        <f aca="false">IF(R12,R12*20+100,0)</f>
        <v>0</v>
      </c>
    </row>
    <row r="13" customFormat="false" ht="15" hidden="false" customHeight="false" outlineLevel="0" collapsed="false">
      <c r="A13" s="55" t="n">
        <v>8</v>
      </c>
      <c r="B13" s="49"/>
      <c r="C13" s="49" t="n">
        <f aca="false">IF(B13,B13*20+100,0)</f>
        <v>0</v>
      </c>
      <c r="D13" s="49"/>
      <c r="E13" s="49" t="n">
        <f aca="false">IF(D13,D13*20+100,0)</f>
        <v>0</v>
      </c>
      <c r="F13" s="49"/>
      <c r="G13" s="49" t="n">
        <f aca="false">IF(F13,F13*20+100,0)</f>
        <v>0</v>
      </c>
      <c r="H13" s="49"/>
      <c r="I13" s="49" t="n">
        <f aca="false">IF(H13,H13*20+100,0)</f>
        <v>0</v>
      </c>
      <c r="J13" s="49"/>
      <c r="K13" s="49" t="n">
        <f aca="false">IF(J13,J13*20+100,0)</f>
        <v>0</v>
      </c>
      <c r="L13" s="49"/>
      <c r="M13" s="49" t="n">
        <f aca="false">IF(L13,L13*20+100,0)</f>
        <v>0</v>
      </c>
      <c r="N13" s="49"/>
      <c r="O13" s="49" t="n">
        <f aca="false">IF(N13,N13*20+100,0)</f>
        <v>0</v>
      </c>
      <c r="P13" s="49"/>
      <c r="Q13" s="50" t="n">
        <f aca="false">IF(P13,P13*20+100,0)</f>
        <v>0</v>
      </c>
      <c r="R13" s="49"/>
      <c r="S13" s="51" t="n">
        <f aca="false">IF(R13,R13*20+100,0)</f>
        <v>0</v>
      </c>
    </row>
    <row r="14" customFormat="false" ht="15" hidden="false" customHeight="false" outlineLevel="0" collapsed="false">
      <c r="A14" s="55" t="n">
        <v>9</v>
      </c>
      <c r="B14" s="49"/>
      <c r="C14" s="49" t="n">
        <f aca="false">IF(B14,B14*20+100,0)</f>
        <v>0</v>
      </c>
      <c r="D14" s="49"/>
      <c r="E14" s="49" t="n">
        <f aca="false">IF(D14,D14*20+100,0)</f>
        <v>0</v>
      </c>
      <c r="F14" s="49"/>
      <c r="G14" s="49" t="n">
        <f aca="false">IF(F14,F14*20+100,0)</f>
        <v>0</v>
      </c>
      <c r="H14" s="49"/>
      <c r="I14" s="49" t="n">
        <f aca="false">IF(H14,H14*20+100,0)</f>
        <v>0</v>
      </c>
      <c r="J14" s="49"/>
      <c r="K14" s="49" t="n">
        <f aca="false">IF(J14,J14*20+100,0)</f>
        <v>0</v>
      </c>
      <c r="L14" s="49"/>
      <c r="M14" s="49" t="n">
        <f aca="false">IF(L14,L14*20+100,0)</f>
        <v>0</v>
      </c>
      <c r="N14" s="49"/>
      <c r="O14" s="49" t="n">
        <f aca="false">IF(N14,N14*20+100,0)</f>
        <v>0</v>
      </c>
      <c r="P14" s="49"/>
      <c r="Q14" s="50" t="n">
        <f aca="false">IF(P14,P14*20+100,0)</f>
        <v>0</v>
      </c>
      <c r="R14" s="49"/>
      <c r="S14" s="51" t="n">
        <f aca="false">IF(R14,R14*20+100,0)</f>
        <v>0</v>
      </c>
    </row>
    <row r="15" customFormat="false" ht="15" hidden="false" customHeight="false" outlineLevel="0" collapsed="false">
      <c r="A15" s="55" t="n">
        <v>10</v>
      </c>
      <c r="B15" s="49"/>
      <c r="C15" s="49" t="n">
        <f aca="false">IF(B15,B15*20+100,0)</f>
        <v>0</v>
      </c>
      <c r="D15" s="49"/>
      <c r="E15" s="49" t="n">
        <f aca="false">IF(D15,D15*20+100,0)</f>
        <v>0</v>
      </c>
      <c r="F15" s="49"/>
      <c r="G15" s="49" t="n">
        <f aca="false">IF(F15,F15*20+100,0)</f>
        <v>0</v>
      </c>
      <c r="H15" s="49"/>
      <c r="I15" s="49" t="n">
        <f aca="false">IF(H15,H15*20+100,0)</f>
        <v>0</v>
      </c>
      <c r="J15" s="49"/>
      <c r="K15" s="49" t="n">
        <f aca="false">IF(J15,J15*20+100,0)</f>
        <v>0</v>
      </c>
      <c r="L15" s="49"/>
      <c r="M15" s="49" t="n">
        <f aca="false">IF(L15,L15*20+100,0)</f>
        <v>0</v>
      </c>
      <c r="N15" s="49"/>
      <c r="O15" s="49" t="n">
        <f aca="false">IF(N15,N15*20+100,0)</f>
        <v>0</v>
      </c>
      <c r="P15" s="49"/>
      <c r="Q15" s="50" t="n">
        <f aca="false">IF(P15,P15*20+100,0)</f>
        <v>0</v>
      </c>
      <c r="R15" s="49"/>
      <c r="S15" s="51" t="n">
        <f aca="false">IF(R15,R15*20+100,0)</f>
        <v>0</v>
      </c>
    </row>
    <row r="16" customFormat="false" ht="15" hidden="false" customHeight="false" outlineLevel="0" collapsed="false">
      <c r="A16" s="55" t="n">
        <v>11</v>
      </c>
      <c r="B16" s="49"/>
      <c r="C16" s="49" t="n">
        <f aca="false">IF(B16,B16*20+100,0)</f>
        <v>0</v>
      </c>
      <c r="D16" s="49"/>
      <c r="E16" s="49" t="n">
        <f aca="false">IF(D16,D16*20+100,0)</f>
        <v>0</v>
      </c>
      <c r="F16" s="49"/>
      <c r="G16" s="49" t="n">
        <f aca="false">IF(F16,F16*20+100,0)</f>
        <v>0</v>
      </c>
      <c r="H16" s="49"/>
      <c r="I16" s="49" t="n">
        <f aca="false">IF(H16,H16*20+100,0)</f>
        <v>0</v>
      </c>
      <c r="J16" s="49"/>
      <c r="K16" s="49" t="n">
        <f aca="false">IF(J16,J16*20+100,0)</f>
        <v>0</v>
      </c>
      <c r="L16" s="49"/>
      <c r="M16" s="49" t="n">
        <f aca="false">IF(L16,L16*20+100,0)</f>
        <v>0</v>
      </c>
      <c r="N16" s="49"/>
      <c r="O16" s="49" t="n">
        <f aca="false">IF(N16,N16*20+100,0)</f>
        <v>0</v>
      </c>
      <c r="P16" s="49"/>
      <c r="Q16" s="50" t="n">
        <f aca="false">IF(P16,P16*20+100,0)</f>
        <v>0</v>
      </c>
      <c r="R16" s="49"/>
      <c r="S16" s="51" t="n">
        <f aca="false">IF(R16,R16*20+100,0)</f>
        <v>0</v>
      </c>
    </row>
    <row r="17" customFormat="false" ht="15" hidden="false" customHeight="false" outlineLevel="0" collapsed="false">
      <c r="A17" s="55" t="n">
        <v>12</v>
      </c>
      <c r="B17" s="49"/>
      <c r="C17" s="49" t="n">
        <f aca="false">IF(B17,B17*20+100,0)</f>
        <v>0</v>
      </c>
      <c r="D17" s="49"/>
      <c r="E17" s="49" t="n">
        <f aca="false">IF(D17,D17*20+100,0)</f>
        <v>0</v>
      </c>
      <c r="F17" s="49"/>
      <c r="G17" s="49" t="n">
        <f aca="false">IF(F17,F17*20+100,0)</f>
        <v>0</v>
      </c>
      <c r="H17" s="49"/>
      <c r="I17" s="49" t="n">
        <f aca="false">IF(H17,H17*20+100,0)</f>
        <v>0</v>
      </c>
      <c r="J17" s="49"/>
      <c r="K17" s="49" t="n">
        <f aca="false">IF(J17,J17*20+100,0)</f>
        <v>0</v>
      </c>
      <c r="L17" s="49"/>
      <c r="M17" s="49" t="n">
        <f aca="false">IF(L17,L17*20+100,0)</f>
        <v>0</v>
      </c>
      <c r="N17" s="49"/>
      <c r="O17" s="49" t="n">
        <f aca="false">IF(N17,N17*20+100,0)</f>
        <v>0</v>
      </c>
      <c r="P17" s="49"/>
      <c r="Q17" s="50" t="n">
        <f aca="false">IF(P17,P17*20+100,0)</f>
        <v>0</v>
      </c>
      <c r="R17" s="49"/>
      <c r="S17" s="51" t="n">
        <f aca="false">IF(R17,R17*20+100,0)</f>
        <v>0</v>
      </c>
    </row>
    <row r="18" customFormat="false" ht="15" hidden="false" customHeight="false" outlineLevel="0" collapsed="false">
      <c r="A18" s="55" t="n">
        <v>13</v>
      </c>
      <c r="B18" s="49"/>
      <c r="C18" s="49" t="n">
        <f aca="false">IF(B18,B18*20+100,0)</f>
        <v>0</v>
      </c>
      <c r="D18" s="49"/>
      <c r="E18" s="49" t="n">
        <f aca="false">IF(D18,D18*20+100,0)</f>
        <v>0</v>
      </c>
      <c r="F18" s="49"/>
      <c r="G18" s="49" t="n">
        <f aca="false">IF(F18,F18*20+100,0)</f>
        <v>0</v>
      </c>
      <c r="H18" s="49"/>
      <c r="I18" s="49" t="n">
        <f aca="false">IF(H18,H18*20+100,0)</f>
        <v>0</v>
      </c>
      <c r="J18" s="49"/>
      <c r="K18" s="49" t="n">
        <f aca="false">IF(J18,J18*20+100,0)</f>
        <v>0</v>
      </c>
      <c r="L18" s="49"/>
      <c r="M18" s="49" t="n">
        <f aca="false">IF(L18,L18*20+100,0)</f>
        <v>0</v>
      </c>
      <c r="N18" s="49"/>
      <c r="O18" s="49" t="n">
        <f aca="false">IF(N18,N18*20+100,0)</f>
        <v>0</v>
      </c>
      <c r="P18" s="49"/>
      <c r="Q18" s="50" t="n">
        <f aca="false">IF(P18,P18*20+100,0)</f>
        <v>0</v>
      </c>
      <c r="R18" s="49"/>
      <c r="S18" s="51" t="n">
        <f aca="false">IF(R18,R18*20+100,0)</f>
        <v>0</v>
      </c>
    </row>
    <row r="19" customFormat="false" ht="15" hidden="false" customHeight="false" outlineLevel="0" collapsed="false">
      <c r="A19" s="55" t="n">
        <v>14</v>
      </c>
      <c r="B19" s="49"/>
      <c r="C19" s="49" t="n">
        <f aca="false">IF(B19,B19*20+100,0)</f>
        <v>0</v>
      </c>
      <c r="D19" s="49"/>
      <c r="E19" s="49" t="n">
        <f aca="false">IF(D19,D19*20+100,0)</f>
        <v>0</v>
      </c>
      <c r="F19" s="49"/>
      <c r="G19" s="49" t="n">
        <f aca="false">IF(F19,F19*20+100,0)</f>
        <v>0</v>
      </c>
      <c r="H19" s="49"/>
      <c r="I19" s="49" t="n">
        <f aca="false">IF(H19,H19*20+100,0)</f>
        <v>0</v>
      </c>
      <c r="J19" s="49"/>
      <c r="K19" s="49" t="n">
        <f aca="false">IF(J19,J19*20+100,0)</f>
        <v>0</v>
      </c>
      <c r="L19" s="49"/>
      <c r="M19" s="49" t="n">
        <f aca="false">IF(L19,L19*20+100,0)</f>
        <v>0</v>
      </c>
      <c r="N19" s="49"/>
      <c r="O19" s="49" t="n">
        <f aca="false">IF(N19,N19*20+100,0)</f>
        <v>0</v>
      </c>
      <c r="P19" s="49"/>
      <c r="Q19" s="50" t="n">
        <f aca="false">IF(P19,P19*20+100,0)</f>
        <v>0</v>
      </c>
      <c r="R19" s="49"/>
      <c r="S19" s="51" t="n">
        <f aca="false">IF(R19,R19*20+100,0)</f>
        <v>0</v>
      </c>
    </row>
    <row r="20" customFormat="false" ht="15" hidden="false" customHeight="false" outlineLevel="0" collapsed="false">
      <c r="A20" s="55" t="n">
        <v>15</v>
      </c>
      <c r="B20" s="49"/>
      <c r="C20" s="49" t="n">
        <f aca="false">IF(B20,B20*20+100,0)</f>
        <v>0</v>
      </c>
      <c r="D20" s="49"/>
      <c r="E20" s="49" t="n">
        <f aca="false">IF(D20,D20*20+100,0)</f>
        <v>0</v>
      </c>
      <c r="F20" s="49"/>
      <c r="G20" s="49" t="n">
        <f aca="false">IF(F20,F20*20+100,0)</f>
        <v>0</v>
      </c>
      <c r="H20" s="49"/>
      <c r="I20" s="49" t="n">
        <f aca="false">IF(H20,H20*20+100,0)</f>
        <v>0</v>
      </c>
      <c r="J20" s="49"/>
      <c r="K20" s="49" t="n">
        <f aca="false">IF(J20,J20*20+100,0)</f>
        <v>0</v>
      </c>
      <c r="L20" s="49"/>
      <c r="M20" s="49" t="n">
        <f aca="false">IF(L20,L20*20+100,0)</f>
        <v>0</v>
      </c>
      <c r="N20" s="49"/>
      <c r="O20" s="49" t="n">
        <f aca="false">IF(N20,N20*20+100,0)</f>
        <v>0</v>
      </c>
      <c r="P20" s="49"/>
      <c r="Q20" s="50" t="n">
        <f aca="false">IF(P20,P20*20+100,0)</f>
        <v>0</v>
      </c>
      <c r="R20" s="49"/>
      <c r="S20" s="51" t="n">
        <f aca="false">IF(R20,R20*20+100,0)</f>
        <v>0</v>
      </c>
    </row>
    <row r="21" customFormat="false" ht="15" hidden="false" customHeight="false" outlineLevel="0" collapsed="false">
      <c r="A21" s="55" t="n">
        <v>16</v>
      </c>
      <c r="B21" s="49"/>
      <c r="C21" s="49" t="n">
        <f aca="false">IF(B21,B21*20+100,0)</f>
        <v>0</v>
      </c>
      <c r="D21" s="49"/>
      <c r="E21" s="49" t="n">
        <f aca="false">IF(D21,D21*20+100,0)</f>
        <v>0</v>
      </c>
      <c r="F21" s="49"/>
      <c r="G21" s="49" t="n">
        <f aca="false">IF(F21,F21*20+100,0)</f>
        <v>0</v>
      </c>
      <c r="H21" s="49"/>
      <c r="I21" s="49" t="n">
        <f aca="false">IF(H21,H21*20+100,0)</f>
        <v>0</v>
      </c>
      <c r="J21" s="49"/>
      <c r="K21" s="49" t="n">
        <f aca="false">IF(J21,J21*20+100,0)</f>
        <v>0</v>
      </c>
      <c r="L21" s="49"/>
      <c r="M21" s="49" t="n">
        <f aca="false">IF(L21,L21*20+100,0)</f>
        <v>0</v>
      </c>
      <c r="N21" s="49"/>
      <c r="O21" s="49" t="n">
        <f aca="false">IF(N21,N21*20+100,0)</f>
        <v>0</v>
      </c>
      <c r="P21" s="49"/>
      <c r="Q21" s="50" t="n">
        <f aca="false">IF(P21,P21*20+100,0)</f>
        <v>0</v>
      </c>
      <c r="R21" s="49"/>
      <c r="S21" s="51" t="n">
        <f aca="false">IF(R21,R21*20+100,0)</f>
        <v>0</v>
      </c>
    </row>
    <row r="22" customFormat="false" ht="15" hidden="false" customHeight="false" outlineLevel="0" collapsed="false">
      <c r="A22" s="55" t="n">
        <v>17</v>
      </c>
      <c r="B22" s="49"/>
      <c r="C22" s="49" t="n">
        <f aca="false">IF(B22,B22*20+100,0)</f>
        <v>0</v>
      </c>
      <c r="D22" s="49"/>
      <c r="E22" s="49" t="n">
        <f aca="false">IF(D22,D22*20+100,0)</f>
        <v>0</v>
      </c>
      <c r="F22" s="49"/>
      <c r="G22" s="49" t="n">
        <f aca="false">IF(F22,F22*20+100,0)</f>
        <v>0</v>
      </c>
      <c r="H22" s="49"/>
      <c r="I22" s="49" t="n">
        <f aca="false">IF(H22,H22*20+100,0)</f>
        <v>0</v>
      </c>
      <c r="J22" s="49"/>
      <c r="K22" s="49" t="n">
        <f aca="false">IF(J22,J22*20+100,0)</f>
        <v>0</v>
      </c>
      <c r="L22" s="49"/>
      <c r="M22" s="49" t="n">
        <f aca="false">IF(L22,L22*20+100,0)</f>
        <v>0</v>
      </c>
      <c r="N22" s="49"/>
      <c r="O22" s="49" t="n">
        <f aca="false">IF(N22,N22*20+100,0)</f>
        <v>0</v>
      </c>
      <c r="P22" s="49"/>
      <c r="Q22" s="50" t="n">
        <f aca="false">IF(P22,P22*20+100,0)</f>
        <v>0</v>
      </c>
      <c r="R22" s="49"/>
      <c r="S22" s="51" t="n">
        <f aca="false">IF(R22,R22*20+100,0)</f>
        <v>0</v>
      </c>
    </row>
    <row r="23" customFormat="false" ht="15" hidden="false" customHeight="false" outlineLevel="0" collapsed="false">
      <c r="A23" s="55" t="n">
        <v>18</v>
      </c>
      <c r="B23" s="49"/>
      <c r="C23" s="49" t="n">
        <f aca="false">IF(B23,B23*20+100,0)</f>
        <v>0</v>
      </c>
      <c r="D23" s="49"/>
      <c r="E23" s="49" t="n">
        <f aca="false">IF(D23,D23*20+100,0)</f>
        <v>0</v>
      </c>
      <c r="F23" s="49"/>
      <c r="G23" s="49" t="n">
        <f aca="false">IF(F23,F23*20+100,0)</f>
        <v>0</v>
      </c>
      <c r="H23" s="49"/>
      <c r="I23" s="49" t="n">
        <f aca="false">IF(H23,H23*20+100,0)</f>
        <v>0</v>
      </c>
      <c r="J23" s="49"/>
      <c r="K23" s="49" t="n">
        <f aca="false">IF(J23,J23*20+100,0)</f>
        <v>0</v>
      </c>
      <c r="L23" s="49"/>
      <c r="M23" s="49" t="n">
        <f aca="false">IF(L23,L23*20+100,0)</f>
        <v>0</v>
      </c>
      <c r="N23" s="49"/>
      <c r="O23" s="49" t="n">
        <f aca="false">IF(N23,N23*20+100,0)</f>
        <v>0</v>
      </c>
      <c r="P23" s="49"/>
      <c r="Q23" s="50" t="n">
        <f aca="false">IF(P23,P23*20+100,0)</f>
        <v>0</v>
      </c>
      <c r="R23" s="49"/>
      <c r="S23" s="51" t="n">
        <f aca="false">IF(R23,R23*20+100,0)</f>
        <v>0</v>
      </c>
    </row>
    <row r="24" customFormat="false" ht="15" hidden="false" customHeight="false" outlineLevel="0" collapsed="false">
      <c r="A24" s="55" t="n">
        <v>19</v>
      </c>
      <c r="B24" s="49"/>
      <c r="C24" s="49" t="n">
        <f aca="false">IF(B24,B24*20+100,0)</f>
        <v>0</v>
      </c>
      <c r="D24" s="49"/>
      <c r="E24" s="49" t="n">
        <f aca="false">IF(D24,D24*20+100,0)</f>
        <v>0</v>
      </c>
      <c r="F24" s="49"/>
      <c r="G24" s="49" t="n">
        <f aca="false">IF(F24,F24*20+100,0)</f>
        <v>0</v>
      </c>
      <c r="H24" s="49"/>
      <c r="I24" s="49" t="n">
        <f aca="false">IF(H24,H24*20+100,0)</f>
        <v>0</v>
      </c>
      <c r="J24" s="49"/>
      <c r="K24" s="49" t="n">
        <f aca="false">IF(J24,J24*20+100,0)</f>
        <v>0</v>
      </c>
      <c r="L24" s="49"/>
      <c r="M24" s="49" t="n">
        <f aca="false">IF(L24,L24*20+100,0)</f>
        <v>0</v>
      </c>
      <c r="N24" s="49"/>
      <c r="O24" s="49" t="n">
        <f aca="false">IF(N24,N24*20+100,0)</f>
        <v>0</v>
      </c>
      <c r="P24" s="49"/>
      <c r="Q24" s="50" t="n">
        <f aca="false">IF(P24,P24*20+100,0)</f>
        <v>0</v>
      </c>
      <c r="R24" s="49"/>
      <c r="S24" s="51" t="n">
        <f aca="false">IF(R24,R24*20+100,0)</f>
        <v>0</v>
      </c>
    </row>
    <row r="25" customFormat="false" ht="15" hidden="false" customHeight="false" outlineLevel="0" collapsed="false">
      <c r="A25" s="55" t="n">
        <v>20</v>
      </c>
      <c r="B25" s="49"/>
      <c r="C25" s="49" t="n">
        <f aca="false">IF(B25,B25*20+100,0)</f>
        <v>0</v>
      </c>
      <c r="D25" s="49"/>
      <c r="E25" s="49" t="n">
        <f aca="false">IF(D25,D25*20+100,0)</f>
        <v>0</v>
      </c>
      <c r="F25" s="49"/>
      <c r="G25" s="49" t="n">
        <f aca="false">IF(F25,F25*20+100,0)</f>
        <v>0</v>
      </c>
      <c r="H25" s="49"/>
      <c r="I25" s="49" t="n">
        <f aca="false">IF(H25,H25*20+100,0)</f>
        <v>0</v>
      </c>
      <c r="J25" s="49"/>
      <c r="K25" s="49" t="n">
        <f aca="false">IF(J25,J25*20+100,0)</f>
        <v>0</v>
      </c>
      <c r="L25" s="49"/>
      <c r="M25" s="49" t="n">
        <f aca="false">IF(L25,L25*20+100,0)</f>
        <v>0</v>
      </c>
      <c r="N25" s="49"/>
      <c r="O25" s="49" t="n">
        <f aca="false">IF(N25,N25*20+100,0)</f>
        <v>0</v>
      </c>
      <c r="P25" s="49"/>
      <c r="Q25" s="50" t="n">
        <f aca="false">IF(P25,P25*20+100,0)</f>
        <v>0</v>
      </c>
      <c r="R25" s="49"/>
      <c r="S25" s="51" t="n">
        <f aca="false">IF(R25,R25*20+100,0)</f>
        <v>0</v>
      </c>
    </row>
    <row r="26" customFormat="false" ht="15" hidden="false" customHeight="false" outlineLevel="0" collapsed="false">
      <c r="A26" s="55" t="n">
        <v>21</v>
      </c>
      <c r="B26" s="49"/>
      <c r="C26" s="49" t="n">
        <f aca="false">IF(B26,B26*20+100,0)</f>
        <v>0</v>
      </c>
      <c r="D26" s="49"/>
      <c r="E26" s="49" t="n">
        <f aca="false">IF(D26,D26*20+100,0)</f>
        <v>0</v>
      </c>
      <c r="F26" s="49"/>
      <c r="G26" s="49" t="n">
        <f aca="false">IF(F26,F26*20+100,0)</f>
        <v>0</v>
      </c>
      <c r="H26" s="49"/>
      <c r="I26" s="49" t="n">
        <f aca="false">IF(H26,H26*20+100,0)</f>
        <v>0</v>
      </c>
      <c r="J26" s="49"/>
      <c r="K26" s="49" t="n">
        <f aca="false">IF(J26,J26*20+100,0)</f>
        <v>0</v>
      </c>
      <c r="L26" s="49"/>
      <c r="M26" s="49" t="n">
        <f aca="false">IF(L26,L26*20+100,0)</f>
        <v>0</v>
      </c>
      <c r="N26" s="49"/>
      <c r="O26" s="49" t="n">
        <f aca="false">IF(N26,N26*20+100,0)</f>
        <v>0</v>
      </c>
      <c r="P26" s="49"/>
      <c r="Q26" s="50" t="n">
        <f aca="false">IF(P26,P26*20+100,0)</f>
        <v>0</v>
      </c>
      <c r="R26" s="49"/>
      <c r="S26" s="51" t="n">
        <f aca="false">IF(R26,R26*20+100,0)</f>
        <v>0</v>
      </c>
    </row>
    <row r="27" customFormat="false" ht="15" hidden="false" customHeight="false" outlineLevel="0" collapsed="false">
      <c r="A27" s="55" t="n">
        <v>22</v>
      </c>
      <c r="B27" s="49"/>
      <c r="C27" s="49" t="n">
        <f aca="false">IF(B27,B27*20+100,0)</f>
        <v>0</v>
      </c>
      <c r="D27" s="49"/>
      <c r="E27" s="49" t="n">
        <f aca="false">IF(D27,D27*20+100,0)</f>
        <v>0</v>
      </c>
      <c r="F27" s="49"/>
      <c r="G27" s="49" t="n">
        <f aca="false">IF(F27,F27*20+100,0)</f>
        <v>0</v>
      </c>
      <c r="H27" s="49"/>
      <c r="I27" s="49" t="n">
        <f aca="false">IF(H27,H27*20+100,0)</f>
        <v>0</v>
      </c>
      <c r="J27" s="49"/>
      <c r="K27" s="49" t="n">
        <f aca="false">IF(J27,J27*20+100,0)</f>
        <v>0</v>
      </c>
      <c r="L27" s="49"/>
      <c r="M27" s="49" t="n">
        <f aca="false">IF(L27,L27*20+100,0)</f>
        <v>0</v>
      </c>
      <c r="N27" s="49"/>
      <c r="O27" s="49" t="n">
        <f aca="false">IF(N27,N27*20+100,0)</f>
        <v>0</v>
      </c>
      <c r="P27" s="49"/>
      <c r="Q27" s="50" t="n">
        <f aca="false">IF(P27,P27*20+100,0)</f>
        <v>0</v>
      </c>
      <c r="R27" s="49"/>
      <c r="S27" s="51" t="n">
        <f aca="false">IF(R27,R27*20+100,0)</f>
        <v>0</v>
      </c>
    </row>
    <row r="28" customFormat="false" ht="15" hidden="false" customHeight="false" outlineLevel="0" collapsed="false">
      <c r="A28" s="55" t="n">
        <v>23</v>
      </c>
      <c r="B28" s="49"/>
      <c r="C28" s="49" t="n">
        <f aca="false">IF(B28,B28*20+100,0)</f>
        <v>0</v>
      </c>
      <c r="D28" s="49"/>
      <c r="E28" s="49" t="n">
        <f aca="false">IF(D28,D28*20+100,0)</f>
        <v>0</v>
      </c>
      <c r="F28" s="49"/>
      <c r="G28" s="49" t="n">
        <f aca="false">IF(F28,F28*20+100,0)</f>
        <v>0</v>
      </c>
      <c r="H28" s="49"/>
      <c r="I28" s="49" t="n">
        <f aca="false">IF(H28,H28*20+100,0)</f>
        <v>0</v>
      </c>
      <c r="J28" s="49"/>
      <c r="K28" s="49" t="n">
        <f aca="false">IF(J28,J28*20+100,0)</f>
        <v>0</v>
      </c>
      <c r="L28" s="49"/>
      <c r="M28" s="49" t="n">
        <f aca="false">IF(L28,L28*20+100,0)</f>
        <v>0</v>
      </c>
      <c r="N28" s="49"/>
      <c r="O28" s="49" t="n">
        <f aca="false">IF(N28,N28*20+100,0)</f>
        <v>0</v>
      </c>
      <c r="P28" s="49"/>
      <c r="Q28" s="50" t="n">
        <f aca="false">IF(P28,P28*20+100,0)</f>
        <v>0</v>
      </c>
      <c r="R28" s="49"/>
      <c r="S28" s="51" t="n">
        <f aca="false">IF(R28,R28*20+100,0)</f>
        <v>0</v>
      </c>
    </row>
    <row r="29" customFormat="false" ht="15" hidden="false" customHeight="false" outlineLevel="0" collapsed="false">
      <c r="A29" s="55" t="n">
        <v>24</v>
      </c>
      <c r="B29" s="49"/>
      <c r="C29" s="49" t="n">
        <f aca="false">IF(B29,B29*20+100,0)</f>
        <v>0</v>
      </c>
      <c r="D29" s="49"/>
      <c r="E29" s="49" t="n">
        <f aca="false">IF(D29,D29*20+100,0)</f>
        <v>0</v>
      </c>
      <c r="F29" s="49"/>
      <c r="G29" s="49" t="n">
        <f aca="false">IF(F29,F29*20+100,0)</f>
        <v>0</v>
      </c>
      <c r="H29" s="49"/>
      <c r="I29" s="49" t="n">
        <f aca="false">IF(H29,H29*20+100,0)</f>
        <v>0</v>
      </c>
      <c r="J29" s="49"/>
      <c r="K29" s="49" t="n">
        <f aca="false">IF(J29,J29*20+100,0)</f>
        <v>0</v>
      </c>
      <c r="L29" s="49"/>
      <c r="M29" s="49" t="n">
        <f aca="false">IF(L29,L29*20+100,0)</f>
        <v>0</v>
      </c>
      <c r="N29" s="49"/>
      <c r="O29" s="49" t="n">
        <f aca="false">IF(N29,N29*20+100,0)</f>
        <v>0</v>
      </c>
      <c r="P29" s="49"/>
      <c r="Q29" s="50" t="n">
        <f aca="false">IF(P29,P29*20+100,0)</f>
        <v>0</v>
      </c>
      <c r="R29" s="49"/>
      <c r="S29" s="51" t="n">
        <f aca="false">IF(R29,R29*20+100,0)</f>
        <v>0</v>
      </c>
    </row>
    <row r="30" customFormat="false" ht="15" hidden="false" customHeight="false" outlineLevel="0" collapsed="false">
      <c r="A30" s="55" t="n">
        <v>25</v>
      </c>
      <c r="B30" s="49"/>
      <c r="C30" s="49" t="n">
        <f aca="false">IF(B30,B30*20+100,0)</f>
        <v>0</v>
      </c>
      <c r="D30" s="49"/>
      <c r="E30" s="49" t="n">
        <f aca="false">IF(D30,D30*20+100,0)</f>
        <v>0</v>
      </c>
      <c r="F30" s="49"/>
      <c r="G30" s="49" t="n">
        <f aca="false">IF(F30,F30*20+100,0)</f>
        <v>0</v>
      </c>
      <c r="H30" s="49"/>
      <c r="I30" s="49" t="n">
        <f aca="false">IF(H30,H30*20+100,0)</f>
        <v>0</v>
      </c>
      <c r="J30" s="49"/>
      <c r="K30" s="49" t="n">
        <f aca="false">IF(J30,J30*20+100,0)</f>
        <v>0</v>
      </c>
      <c r="L30" s="49"/>
      <c r="M30" s="49" t="n">
        <f aca="false">IF(L30,L30*20+100,0)</f>
        <v>0</v>
      </c>
      <c r="N30" s="49"/>
      <c r="O30" s="49" t="n">
        <f aca="false">IF(N30,N30*20+100,0)</f>
        <v>0</v>
      </c>
      <c r="P30" s="49"/>
      <c r="Q30" s="50" t="n">
        <f aca="false">IF(P30,P30*20+100,0)</f>
        <v>0</v>
      </c>
      <c r="R30" s="49"/>
      <c r="S30" s="51" t="n">
        <f aca="false">IF(R30,R30*20+100,0)</f>
        <v>0</v>
      </c>
    </row>
    <row r="31" customFormat="false" ht="15" hidden="false" customHeight="false" outlineLevel="0" collapsed="false">
      <c r="A31" s="55" t="n">
        <v>26</v>
      </c>
      <c r="B31" s="49"/>
      <c r="C31" s="49" t="n">
        <f aca="false">IF(B31,B31*20+100,0)</f>
        <v>0</v>
      </c>
      <c r="D31" s="49"/>
      <c r="E31" s="49" t="n">
        <f aca="false">IF(D31,D31*20+100,0)</f>
        <v>0</v>
      </c>
      <c r="F31" s="49"/>
      <c r="G31" s="49" t="n">
        <f aca="false">IF(F31,F31*20+100,0)</f>
        <v>0</v>
      </c>
      <c r="H31" s="49"/>
      <c r="I31" s="49" t="n">
        <f aca="false">IF(H31,H31*20+100,0)</f>
        <v>0</v>
      </c>
      <c r="J31" s="49"/>
      <c r="K31" s="49" t="n">
        <f aca="false">IF(J31,J31*20+100,0)</f>
        <v>0</v>
      </c>
      <c r="L31" s="49"/>
      <c r="M31" s="49" t="n">
        <f aca="false">IF(L31,L31*20+100,0)</f>
        <v>0</v>
      </c>
      <c r="N31" s="49"/>
      <c r="O31" s="49" t="n">
        <f aca="false">IF(N31,N31*20+100,0)</f>
        <v>0</v>
      </c>
      <c r="P31" s="49"/>
      <c r="Q31" s="50" t="n">
        <f aca="false">IF(P31,P31*20+100,0)</f>
        <v>0</v>
      </c>
      <c r="R31" s="49"/>
      <c r="S31" s="51" t="n">
        <f aca="false">IF(R31,R31*20+100,0)</f>
        <v>0</v>
      </c>
    </row>
    <row r="32" customFormat="false" ht="15" hidden="false" customHeight="false" outlineLevel="0" collapsed="false">
      <c r="A32" s="55" t="n">
        <v>27</v>
      </c>
      <c r="B32" s="49"/>
      <c r="C32" s="49" t="n">
        <f aca="false">IF(B32,B32*20+100,0)</f>
        <v>0</v>
      </c>
      <c r="D32" s="49"/>
      <c r="E32" s="49" t="n">
        <f aca="false">IF(D32,D32*20+100,0)</f>
        <v>0</v>
      </c>
      <c r="F32" s="49"/>
      <c r="G32" s="49" t="n">
        <f aca="false">IF(F32,F32*20+100,0)</f>
        <v>0</v>
      </c>
      <c r="H32" s="49"/>
      <c r="I32" s="49" t="n">
        <f aca="false">IF(H32,H32*20+100,0)</f>
        <v>0</v>
      </c>
      <c r="J32" s="49"/>
      <c r="K32" s="49" t="n">
        <f aca="false">IF(J32,J32*20+100,0)</f>
        <v>0</v>
      </c>
      <c r="L32" s="49"/>
      <c r="M32" s="49" t="n">
        <f aca="false">IF(L32,L32*20+100,0)</f>
        <v>0</v>
      </c>
      <c r="N32" s="49"/>
      <c r="O32" s="49" t="n">
        <f aca="false">IF(N32,N32*20+100,0)</f>
        <v>0</v>
      </c>
      <c r="P32" s="49"/>
      <c r="Q32" s="50" t="n">
        <f aca="false">IF(P32,P32*20+100,0)</f>
        <v>0</v>
      </c>
      <c r="R32" s="49"/>
      <c r="S32" s="51" t="n">
        <f aca="false">IF(R32,R32*20+100,0)</f>
        <v>0</v>
      </c>
    </row>
    <row r="33" customFormat="false" ht="15" hidden="false" customHeight="false" outlineLevel="0" collapsed="false">
      <c r="A33" s="55" t="n">
        <v>28</v>
      </c>
      <c r="B33" s="49"/>
      <c r="C33" s="49" t="n">
        <f aca="false">IF(B33,B33*20+100,0)</f>
        <v>0</v>
      </c>
      <c r="D33" s="49"/>
      <c r="E33" s="49" t="n">
        <f aca="false">IF(D33,D33*20+100,0)</f>
        <v>0</v>
      </c>
      <c r="F33" s="49"/>
      <c r="G33" s="49" t="n">
        <f aca="false">IF(F33,F33*20+100,0)</f>
        <v>0</v>
      </c>
      <c r="H33" s="49"/>
      <c r="I33" s="49" t="n">
        <f aca="false">IF(H33,H33*20+100,0)</f>
        <v>0</v>
      </c>
      <c r="J33" s="49"/>
      <c r="K33" s="49" t="n">
        <f aca="false">IF(J33,J33*20+100,0)</f>
        <v>0</v>
      </c>
      <c r="L33" s="49"/>
      <c r="M33" s="49" t="n">
        <f aca="false">IF(L33,L33*20+100,0)</f>
        <v>0</v>
      </c>
      <c r="N33" s="49"/>
      <c r="O33" s="49" t="n">
        <f aca="false">IF(N33,N33*20+100,0)</f>
        <v>0</v>
      </c>
      <c r="P33" s="49"/>
      <c r="Q33" s="50" t="n">
        <f aca="false">IF(P33,P33*20+100,0)</f>
        <v>0</v>
      </c>
      <c r="R33" s="49"/>
      <c r="S33" s="51" t="n">
        <f aca="false">IF(R33,R33*20+100,0)</f>
        <v>0</v>
      </c>
    </row>
    <row r="34" customFormat="false" ht="15" hidden="false" customHeight="false" outlineLevel="0" collapsed="false">
      <c r="A34" s="55" t="n">
        <v>29</v>
      </c>
      <c r="B34" s="49"/>
      <c r="C34" s="49" t="n">
        <f aca="false">IF(B34,B34*20+100,0)</f>
        <v>0</v>
      </c>
      <c r="D34" s="49"/>
      <c r="E34" s="49" t="n">
        <f aca="false">IF(D34,D34*20+100,0)</f>
        <v>0</v>
      </c>
      <c r="F34" s="49"/>
      <c r="G34" s="49" t="n">
        <f aca="false">IF(F34,F34*20+100,0)</f>
        <v>0</v>
      </c>
      <c r="H34" s="49"/>
      <c r="I34" s="49" t="n">
        <f aca="false">IF(H34,H34*20+100,0)</f>
        <v>0</v>
      </c>
      <c r="J34" s="49"/>
      <c r="K34" s="49" t="n">
        <f aca="false">IF(J34,J34*20+100,0)</f>
        <v>0</v>
      </c>
      <c r="L34" s="49"/>
      <c r="M34" s="49" t="n">
        <f aca="false">IF(L34,L34*20+100,0)</f>
        <v>0</v>
      </c>
      <c r="N34" s="49"/>
      <c r="O34" s="49" t="n">
        <f aca="false">IF(N34,N34*20+100,0)</f>
        <v>0</v>
      </c>
      <c r="P34" s="49"/>
      <c r="Q34" s="50" t="n">
        <f aca="false">IF(P34,P34*20+100,0)</f>
        <v>0</v>
      </c>
      <c r="R34" s="49"/>
      <c r="S34" s="51" t="n">
        <f aca="false">IF(R34,R34*20+100,0)</f>
        <v>0</v>
      </c>
    </row>
    <row r="35" customFormat="false" ht="15" hidden="false" customHeight="false" outlineLevel="0" collapsed="false">
      <c r="A35" s="55" t="n">
        <v>30</v>
      </c>
      <c r="B35" s="49"/>
      <c r="C35" s="49" t="n">
        <f aca="false">IF(B35,B35*20+100,0)</f>
        <v>0</v>
      </c>
      <c r="D35" s="49"/>
      <c r="E35" s="49" t="n">
        <f aca="false">IF(D35,D35*20+100,0)</f>
        <v>0</v>
      </c>
      <c r="F35" s="49"/>
      <c r="G35" s="49" t="n">
        <f aca="false">IF(F35,F35*20+100,0)</f>
        <v>0</v>
      </c>
      <c r="H35" s="49"/>
      <c r="I35" s="49" t="n">
        <f aca="false">IF(H35,H35*20+100,0)</f>
        <v>0</v>
      </c>
      <c r="J35" s="49"/>
      <c r="K35" s="49" t="n">
        <f aca="false">IF(J35,J35*20+100,0)</f>
        <v>0</v>
      </c>
      <c r="L35" s="49"/>
      <c r="M35" s="49" t="n">
        <f aca="false">IF(L35,L35*20+100,0)</f>
        <v>0</v>
      </c>
      <c r="N35" s="49"/>
      <c r="O35" s="49" t="n">
        <f aca="false">IF(N35,N35*20+100,0)</f>
        <v>0</v>
      </c>
      <c r="P35" s="49"/>
      <c r="Q35" s="50" t="n">
        <f aca="false">IF(P35,P35*20+100,0)</f>
        <v>0</v>
      </c>
      <c r="R35" s="49"/>
      <c r="S35" s="51" t="n">
        <f aca="false">IF(R35,R35*20+100,0)</f>
        <v>0</v>
      </c>
    </row>
    <row r="36" customFormat="false" ht="32.25" hidden="false" customHeight="true" outlineLevel="0" collapsed="false">
      <c r="A36" s="69"/>
      <c r="B36" s="57" t="s">
        <v>53</v>
      </c>
      <c r="C36" s="58" t="n">
        <f aca="false">SUM(C6:C35)</f>
        <v>1960</v>
      </c>
      <c r="D36" s="57" t="s">
        <v>53</v>
      </c>
      <c r="E36" s="58" t="n">
        <f aca="false">SUM(E6:E35)</f>
        <v>1160</v>
      </c>
      <c r="F36" s="57" t="s">
        <v>53</v>
      </c>
      <c r="G36" s="58" t="n">
        <f aca="false">SUM(G6:G35)</f>
        <v>1180</v>
      </c>
      <c r="H36" s="57" t="s">
        <v>53</v>
      </c>
      <c r="I36" s="58" t="n">
        <f aca="false">SUM(I6:I35)</f>
        <v>2160</v>
      </c>
      <c r="J36" s="57" t="s">
        <v>53</v>
      </c>
      <c r="K36" s="58" t="n">
        <f aca="false">SUM(K6:K35)</f>
        <v>3820</v>
      </c>
      <c r="L36" s="57" t="s">
        <v>53</v>
      </c>
      <c r="M36" s="58" t="n">
        <f aca="false">SUM(M6:M35)</f>
        <v>1680</v>
      </c>
      <c r="N36" s="57" t="s">
        <v>53</v>
      </c>
      <c r="O36" s="58" t="n">
        <f aca="false">SUM(O6:O35)</f>
        <v>0</v>
      </c>
      <c r="P36" s="57" t="s">
        <v>53</v>
      </c>
      <c r="Q36" s="58" t="n">
        <f aca="false">SUM(Q6:Q35)</f>
        <v>0</v>
      </c>
      <c r="R36" s="57" t="s">
        <v>53</v>
      </c>
      <c r="S36" s="51" t="n">
        <f aca="false">SUM(S6:S35)</f>
        <v>640</v>
      </c>
    </row>
    <row r="37" customFormat="false" ht="31.5" hidden="false" customHeight="true" outlineLevel="0" collapsed="false">
      <c r="A37" s="70"/>
      <c r="B37" s="59" t="s">
        <v>54</v>
      </c>
      <c r="C37" s="58" t="n">
        <f aca="false">IF(C36=0,9,RANK(C36,$C$36:$S$36,0))</f>
        <v>3</v>
      </c>
      <c r="D37" s="59" t="s">
        <v>54</v>
      </c>
      <c r="E37" s="58" t="n">
        <f aca="false">IF(E36=0,9,RANK(E36,$C$36:$S$36,0))</f>
        <v>6</v>
      </c>
      <c r="F37" s="59" t="s">
        <v>54</v>
      </c>
      <c r="G37" s="58" t="n">
        <f aca="false">IF(G36=0,9,RANK(G36,$C$36:$S$36,0))</f>
        <v>5</v>
      </c>
      <c r="H37" s="59" t="s">
        <v>54</v>
      </c>
      <c r="I37" s="58" t="n">
        <f aca="false">IF(I36=0,9,RANK(I36,$C$36:$S$36,0))</f>
        <v>2</v>
      </c>
      <c r="J37" s="59" t="s">
        <v>54</v>
      </c>
      <c r="K37" s="58" t="n">
        <f aca="false">IF(K36=0,9,RANK(K36,$C$36:$S$36,0))</f>
        <v>1</v>
      </c>
      <c r="L37" s="59" t="s">
        <v>54</v>
      </c>
      <c r="M37" s="58" t="n">
        <f aca="false">IF(M36=0,9,RANK(M36,$C$36:$S$36,0))</f>
        <v>4</v>
      </c>
      <c r="N37" s="59" t="s">
        <v>54</v>
      </c>
      <c r="O37" s="58" t="n">
        <f aca="false">IF(O36=0,9,RANK(O36,$C$36:$S$36,0))</f>
        <v>9</v>
      </c>
      <c r="P37" s="59" t="s">
        <v>54</v>
      </c>
      <c r="Q37" s="58" t="n">
        <f aca="false">IF(Q36=0,9,RANK(Q36,$C$36:$S$36,0))</f>
        <v>9</v>
      </c>
      <c r="R37" s="57" t="s">
        <v>54</v>
      </c>
      <c r="S37" s="51" t="n">
        <f aca="false">IF(S36=0,9,RANK(S36,$C$36:$S$36,0))</f>
        <v>7</v>
      </c>
    </row>
    <row r="38" customFormat="false" ht="15" hidden="false" customHeight="true" outlineLevel="0" collapsed="false">
      <c r="A38" s="60"/>
      <c r="B38" s="57" t="s">
        <v>55</v>
      </c>
      <c r="C38" s="49" t="n">
        <f aca="false">COUNT(B6:B35)</f>
        <v>3</v>
      </c>
      <c r="D38" s="57" t="s">
        <v>55</v>
      </c>
      <c r="E38" s="49" t="n">
        <f aca="false">COUNT(D6:D35)</f>
        <v>2</v>
      </c>
      <c r="F38" s="57" t="s">
        <v>55</v>
      </c>
      <c r="G38" s="49" t="n">
        <f aca="false">COUNT(F6:F35)</f>
        <v>2</v>
      </c>
      <c r="H38" s="57" t="s">
        <v>55</v>
      </c>
      <c r="I38" s="49" t="n">
        <f aca="false">COUNT(H6:H35)</f>
        <v>3</v>
      </c>
      <c r="J38" s="57" t="s">
        <v>55</v>
      </c>
      <c r="K38" s="49" t="n">
        <f aca="false">COUNT(J6:J35)</f>
        <v>6</v>
      </c>
      <c r="L38" s="57" t="s">
        <v>55</v>
      </c>
      <c r="M38" s="49" t="n">
        <f aca="false">COUNT(L6:L35)</f>
        <v>2</v>
      </c>
      <c r="N38" s="57" t="s">
        <v>55</v>
      </c>
      <c r="O38" s="49" t="n">
        <f aca="false">COUNT(N6:N35)</f>
        <v>0</v>
      </c>
      <c r="P38" s="57" t="s">
        <v>55</v>
      </c>
      <c r="Q38" s="50" t="n">
        <f aca="false">COUNT(P6:P35)</f>
        <v>0</v>
      </c>
      <c r="R38" s="57" t="s">
        <v>55</v>
      </c>
      <c r="S38" s="51" t="n">
        <f aca="false">COUNT(R6:R35)</f>
        <v>1</v>
      </c>
    </row>
    <row r="39" customFormat="false" ht="15" hidden="false" customHeight="false" outlineLevel="0" collapsed="false">
      <c r="A39" s="60"/>
      <c r="B39" s="57"/>
      <c r="C39" s="49"/>
      <c r="D39" s="57"/>
      <c r="E39" s="49"/>
      <c r="F39" s="57"/>
      <c r="G39" s="49"/>
      <c r="H39" s="57"/>
      <c r="I39" s="49"/>
      <c r="J39" s="57"/>
      <c r="K39" s="49"/>
      <c r="L39" s="57"/>
      <c r="M39" s="49"/>
      <c r="N39" s="57"/>
      <c r="O39" s="49"/>
      <c r="P39" s="57"/>
      <c r="Q39" s="50"/>
      <c r="R39" s="57"/>
      <c r="S39" s="51"/>
    </row>
    <row r="40" customFormat="false" ht="15" hidden="false" customHeight="false" outlineLevel="0" collapsed="false">
      <c r="A40" s="60"/>
      <c r="B40" s="57"/>
      <c r="C40" s="49"/>
      <c r="D40" s="57"/>
      <c r="E40" s="49"/>
      <c r="F40" s="57"/>
      <c r="G40" s="49"/>
      <c r="H40" s="57"/>
      <c r="I40" s="49"/>
      <c r="J40" s="57"/>
      <c r="K40" s="49"/>
      <c r="L40" s="57"/>
      <c r="M40" s="49"/>
      <c r="N40" s="57"/>
      <c r="O40" s="49"/>
      <c r="P40" s="57"/>
      <c r="Q40" s="50"/>
      <c r="R40" s="57"/>
      <c r="S40" s="51"/>
    </row>
    <row r="41" customFormat="false" ht="40.5" hidden="false" customHeight="true" outlineLevel="0" collapsed="false">
      <c r="A41" s="61"/>
      <c r="B41" s="62" t="s">
        <v>56</v>
      </c>
      <c r="C41" s="62" t="n">
        <f aca="false">MAX(B6:B35)</f>
        <v>28</v>
      </c>
      <c r="D41" s="62" t="s">
        <v>56</v>
      </c>
      <c r="E41" s="62" t="n">
        <f aca="false">MAX(D6:D35)</f>
        <v>28</v>
      </c>
      <c r="F41" s="62" t="s">
        <v>56</v>
      </c>
      <c r="G41" s="62" t="n">
        <f aca="false">MAX(F6:F35)</f>
        <v>26</v>
      </c>
      <c r="H41" s="62" t="s">
        <v>56</v>
      </c>
      <c r="I41" s="62" t="n">
        <f aca="false">MAX(H6:H35)</f>
        <v>34</v>
      </c>
      <c r="J41" s="62" t="s">
        <v>56</v>
      </c>
      <c r="K41" s="62" t="n">
        <f aca="false">MAX(J6:J35)</f>
        <v>36</v>
      </c>
      <c r="L41" s="62" t="s">
        <v>56</v>
      </c>
      <c r="M41" s="62" t="n">
        <f aca="false">MAX(L6:L35)</f>
        <v>44</v>
      </c>
      <c r="N41" s="62" t="s">
        <v>56</v>
      </c>
      <c r="O41" s="62" t="n">
        <f aca="false">MAX(N6:N35)</f>
        <v>0</v>
      </c>
      <c r="P41" s="62" t="s">
        <v>56</v>
      </c>
      <c r="Q41" s="67" t="n">
        <f aca="false">MAX(P6:P35)</f>
        <v>0</v>
      </c>
      <c r="R41" s="62" t="s">
        <v>56</v>
      </c>
      <c r="S41" s="68" t="n">
        <f aca="false">MAX(R6:R35)</f>
        <v>27</v>
      </c>
    </row>
    <row r="42" customFormat="false" ht="15" hidden="false" customHeight="false" outlineLevel="0" collapsed="false">
      <c r="A42" s="4"/>
      <c r="B42" s="4"/>
      <c r="C42" s="4"/>
      <c r="D42" s="4"/>
      <c r="E42" s="4"/>
      <c r="F42" s="4"/>
      <c r="G42" s="4"/>
      <c r="H42" s="4"/>
      <c r="I42" s="4"/>
      <c r="J42" s="4"/>
      <c r="K42" s="4"/>
      <c r="L42" s="4"/>
      <c r="M42" s="4"/>
      <c r="N42" s="4"/>
      <c r="O42" s="4"/>
      <c r="P42" s="4"/>
      <c r="Q42" s="4"/>
      <c r="R42" s="4"/>
      <c r="S42" s="4"/>
    </row>
    <row r="43" customFormat="false" ht="15" hidden="false" customHeight="false" outlineLevel="0" collapsed="false">
      <c r="A43" s="4"/>
      <c r="B43" s="4"/>
      <c r="C43" s="4"/>
      <c r="D43" s="4"/>
      <c r="E43" s="4"/>
      <c r="F43" s="4"/>
      <c r="G43" s="4"/>
      <c r="H43" s="4"/>
      <c r="I43" s="4"/>
      <c r="J43" s="4"/>
      <c r="K43" s="4"/>
      <c r="L43" s="4"/>
      <c r="M43" s="4"/>
      <c r="N43" s="4"/>
      <c r="O43" s="4"/>
      <c r="P43" s="4"/>
      <c r="Q43" s="4"/>
      <c r="R43" s="4"/>
      <c r="S43" s="4"/>
    </row>
    <row r="44" customFormat="false" ht="15" hidden="false" customHeight="false" outlineLevel="0" collapsed="false">
      <c r="A44" s="4"/>
      <c r="B44" s="4"/>
      <c r="C44" s="4"/>
      <c r="D44" s="4"/>
      <c r="E44" s="4"/>
      <c r="F44" s="4"/>
      <c r="G44" s="4"/>
      <c r="H44" s="4"/>
      <c r="I44" s="4"/>
      <c r="J44" s="4"/>
      <c r="K44" s="4"/>
      <c r="L44" s="4"/>
      <c r="M44" s="4"/>
      <c r="N44" s="4"/>
      <c r="O44" s="4"/>
      <c r="P44" s="4"/>
      <c r="Q44" s="4"/>
      <c r="R44" s="4"/>
      <c r="S44" s="4"/>
    </row>
    <row r="45" customFormat="false" ht="15" hidden="false" customHeight="true" outlineLevel="0" collapsed="false">
      <c r="A45" s="77" t="s">
        <v>63</v>
      </c>
      <c r="B45" s="77"/>
      <c r="C45" s="77"/>
      <c r="D45" s="77"/>
      <c r="E45" s="77"/>
      <c r="F45" s="77"/>
      <c r="G45" s="77"/>
      <c r="H45" s="77"/>
      <c r="I45" s="77"/>
      <c r="J45" s="77"/>
      <c r="K45" s="77"/>
      <c r="L45" s="77"/>
      <c r="M45" s="77"/>
      <c r="N45" s="77"/>
      <c r="O45" s="77"/>
      <c r="P45" s="77"/>
      <c r="Q45" s="77"/>
      <c r="R45" s="77"/>
      <c r="S45" s="77"/>
    </row>
    <row r="46" customFormat="false" ht="15" hidden="false" customHeight="true" outlineLevel="0" collapsed="false">
      <c r="A46" s="77"/>
      <c r="B46" s="77"/>
      <c r="C46" s="77"/>
      <c r="D46" s="77"/>
      <c r="E46" s="77"/>
      <c r="F46" s="77"/>
      <c r="G46" s="77"/>
      <c r="H46" s="77"/>
      <c r="I46" s="77"/>
      <c r="J46" s="77"/>
      <c r="K46" s="77"/>
      <c r="L46" s="77"/>
      <c r="M46" s="77"/>
      <c r="N46" s="77"/>
      <c r="O46" s="77"/>
      <c r="P46" s="77"/>
      <c r="Q46" s="77"/>
      <c r="R46" s="77"/>
      <c r="S46" s="77"/>
    </row>
    <row r="47" customFormat="false" ht="15" hidden="false" customHeight="true" outlineLevel="0" collapsed="false">
      <c r="A47" s="48" t="s">
        <v>49</v>
      </c>
      <c r="B47" s="49" t="s">
        <v>50</v>
      </c>
      <c r="C47" s="49"/>
      <c r="D47" s="49" t="s">
        <v>50</v>
      </c>
      <c r="E47" s="49"/>
      <c r="F47" s="49" t="s">
        <v>50</v>
      </c>
      <c r="G47" s="49"/>
      <c r="H47" s="49" t="s">
        <v>50</v>
      </c>
      <c r="I47" s="49"/>
      <c r="J47" s="49" t="s">
        <v>50</v>
      </c>
      <c r="K47" s="49"/>
      <c r="L47" s="49" t="s">
        <v>50</v>
      </c>
      <c r="M47" s="49"/>
      <c r="N47" s="49" t="s">
        <v>50</v>
      </c>
      <c r="O47" s="49"/>
      <c r="P47" s="50" t="s">
        <v>50</v>
      </c>
      <c r="Q47" s="50"/>
      <c r="R47" s="51" t="s">
        <v>50</v>
      </c>
      <c r="S47" s="51"/>
    </row>
    <row r="48" customFormat="false" ht="17.35" hidden="false" customHeight="false" outlineLevel="0" collapsed="false">
      <c r="A48" s="48"/>
      <c r="B48" s="52" t="str">
        <f aca="false">TABELA!K10</f>
        <v>NIKOLA TREBJEŠANIN</v>
      </c>
      <c r="C48" s="52"/>
      <c r="D48" s="52" t="str">
        <f aca="false">TABELA!K11</f>
        <v>NIKOLA POPOVIĆ</v>
      </c>
      <c r="E48" s="52"/>
      <c r="F48" s="52" t="str">
        <f aca="false">TABELA!K12</f>
        <v>MARKO BAKIĆ</v>
      </c>
      <c r="G48" s="52"/>
      <c r="H48" s="52" t="str">
        <f aca="false">TABELA!K13</f>
        <v>BOGDAN GOVEDARICA</v>
      </c>
      <c r="I48" s="52"/>
      <c r="J48" s="52" t="str">
        <f aca="false">TABELA!K14</f>
        <v>GORAN OBRENOVIĆ</v>
      </c>
      <c r="K48" s="52"/>
      <c r="L48" s="52" t="str">
        <f aca="false">TABELA!K15</f>
        <v>MILAN FUŠTIĆ</v>
      </c>
      <c r="M48" s="52"/>
      <c r="N48" s="52" t="str">
        <f aca="false">TABELA!K16</f>
        <v>BOŠKO VULEVIĆ</v>
      </c>
      <c r="O48" s="52"/>
      <c r="P48" s="53" t="str">
        <f aca="false">TABELA!K17</f>
        <v>MUMIN HEKALO</v>
      </c>
      <c r="Q48" s="53"/>
      <c r="R48" s="54" t="str">
        <f aca="false">TABELA!K18</f>
        <v>OMAR BAŠIĆ</v>
      </c>
      <c r="S48" s="54"/>
    </row>
    <row r="49" customFormat="false" ht="15" hidden="false" customHeight="false" outlineLevel="0" collapsed="false">
      <c r="A49" s="48"/>
      <c r="B49" s="49" t="s">
        <v>51</v>
      </c>
      <c r="C49" s="49" t="s">
        <v>52</v>
      </c>
      <c r="D49" s="49" t="s">
        <v>51</v>
      </c>
      <c r="E49" s="49" t="s">
        <v>52</v>
      </c>
      <c r="F49" s="49" t="s">
        <v>51</v>
      </c>
      <c r="G49" s="49" t="s">
        <v>52</v>
      </c>
      <c r="H49" s="49" t="s">
        <v>51</v>
      </c>
      <c r="I49" s="49" t="s">
        <v>52</v>
      </c>
      <c r="J49" s="49" t="s">
        <v>51</v>
      </c>
      <c r="K49" s="49" t="s">
        <v>52</v>
      </c>
      <c r="L49" s="49" t="s">
        <v>51</v>
      </c>
      <c r="M49" s="49" t="s">
        <v>52</v>
      </c>
      <c r="N49" s="49" t="s">
        <v>51</v>
      </c>
      <c r="O49" s="49" t="s">
        <v>52</v>
      </c>
      <c r="P49" s="49" t="s">
        <v>51</v>
      </c>
      <c r="Q49" s="50" t="s">
        <v>52</v>
      </c>
      <c r="R49" s="49" t="s">
        <v>51</v>
      </c>
      <c r="S49" s="51" t="s">
        <v>52</v>
      </c>
    </row>
    <row r="50" customFormat="false" ht="15" hidden="false" customHeight="false" outlineLevel="0" collapsed="false">
      <c r="A50" s="55" t="n">
        <v>1</v>
      </c>
      <c r="B50" s="49"/>
      <c r="C50" s="49" t="n">
        <f aca="false">IF(B50,B50*20+100,0)</f>
        <v>0</v>
      </c>
      <c r="D50" s="49"/>
      <c r="E50" s="49" t="n">
        <f aca="false">IF(D50,D50*20+100,0)</f>
        <v>0</v>
      </c>
      <c r="F50" s="49" t="n">
        <v>27</v>
      </c>
      <c r="G50" s="49" t="n">
        <f aca="false">IF(F50,F50*20+100,0)</f>
        <v>640</v>
      </c>
      <c r="H50" s="49" t="n">
        <v>25</v>
      </c>
      <c r="I50" s="49" t="n">
        <f aca="false">IF(H50,H50*20+100,0)</f>
        <v>600</v>
      </c>
      <c r="J50" s="49" t="n">
        <v>37</v>
      </c>
      <c r="K50" s="49" t="n">
        <f aca="false">IF(J50,J50*20+100,0)</f>
        <v>840</v>
      </c>
      <c r="L50" s="49"/>
      <c r="M50" s="49" t="n">
        <f aca="false">IF(L50,L50*20+100,0)</f>
        <v>0</v>
      </c>
      <c r="N50" s="49" t="n">
        <v>22</v>
      </c>
      <c r="O50" s="49" t="n">
        <f aca="false">IF(N50,N50*20+100,0)</f>
        <v>540</v>
      </c>
      <c r="P50" s="49"/>
      <c r="Q50" s="50" t="n">
        <f aca="false">IF(P50,P50*20+100,0)</f>
        <v>0</v>
      </c>
      <c r="R50" s="49"/>
      <c r="S50" s="51" t="n">
        <f aca="false">IF(R50,R50*20+100,0)</f>
        <v>0</v>
      </c>
    </row>
    <row r="51" customFormat="false" ht="15" hidden="false" customHeight="false" outlineLevel="0" collapsed="false">
      <c r="A51" s="55" t="n">
        <v>2</v>
      </c>
      <c r="B51" s="49"/>
      <c r="C51" s="49" t="n">
        <f aca="false">IF(B51,B51*20+100,0)</f>
        <v>0</v>
      </c>
      <c r="D51" s="49"/>
      <c r="E51" s="49" t="n">
        <f aca="false">IF(D51,D51*20+100,0)</f>
        <v>0</v>
      </c>
      <c r="F51" s="49"/>
      <c r="G51" s="49" t="n">
        <f aca="false">IF(F51,F51*20+100,0)</f>
        <v>0</v>
      </c>
      <c r="H51" s="49"/>
      <c r="I51" s="49" t="n">
        <f aca="false">IF(H51,H51*20+100,0)</f>
        <v>0</v>
      </c>
      <c r="J51" s="49"/>
      <c r="K51" s="49" t="n">
        <f aca="false">IF(J51,J51*20+100,0)</f>
        <v>0</v>
      </c>
      <c r="L51" s="49"/>
      <c r="M51" s="49" t="n">
        <f aca="false">IF(L51,L51*20+100,0)</f>
        <v>0</v>
      </c>
      <c r="N51" s="49"/>
      <c r="O51" s="49" t="n">
        <f aca="false">IF(N51,N51*20+100,0)</f>
        <v>0</v>
      </c>
      <c r="P51" s="49"/>
      <c r="Q51" s="50" t="n">
        <f aca="false">IF(P51,P51*20+100,0)</f>
        <v>0</v>
      </c>
      <c r="R51" s="49"/>
      <c r="S51" s="51" t="n">
        <f aca="false">IF(R51,R51*20+100,0)</f>
        <v>0</v>
      </c>
    </row>
    <row r="52" customFormat="false" ht="15" hidden="false" customHeight="false" outlineLevel="0" collapsed="false">
      <c r="A52" s="55" t="n">
        <v>3</v>
      </c>
      <c r="B52" s="49"/>
      <c r="C52" s="49" t="n">
        <f aca="false">IF(B52,B52*20+100,0)</f>
        <v>0</v>
      </c>
      <c r="D52" s="49"/>
      <c r="E52" s="49" t="n">
        <f aca="false">IF(D52,D52*20+100,0)</f>
        <v>0</v>
      </c>
      <c r="F52" s="49"/>
      <c r="G52" s="49" t="n">
        <f aca="false">IF(F52,F52*20+100,0)</f>
        <v>0</v>
      </c>
      <c r="H52" s="49"/>
      <c r="I52" s="49" t="n">
        <f aca="false">IF(H52,H52*20+100,0)</f>
        <v>0</v>
      </c>
      <c r="J52" s="49"/>
      <c r="K52" s="49" t="n">
        <f aca="false">IF(J52,J52*20+100,0)</f>
        <v>0</v>
      </c>
      <c r="L52" s="49"/>
      <c r="M52" s="49" t="n">
        <f aca="false">IF(L52,L52*20+100,0)</f>
        <v>0</v>
      </c>
      <c r="N52" s="49"/>
      <c r="O52" s="49" t="n">
        <f aca="false">IF(N52,N52*20+100,0)</f>
        <v>0</v>
      </c>
      <c r="P52" s="49"/>
      <c r="Q52" s="50" t="n">
        <f aca="false">IF(P52,P52*20+100,0)</f>
        <v>0</v>
      </c>
      <c r="R52" s="49"/>
      <c r="S52" s="51" t="n">
        <f aca="false">IF(R52,R52*20+100,0)</f>
        <v>0</v>
      </c>
    </row>
    <row r="53" customFormat="false" ht="15" hidden="false" customHeight="false" outlineLevel="0" collapsed="false">
      <c r="A53" s="55" t="n">
        <v>4</v>
      </c>
      <c r="B53" s="49"/>
      <c r="C53" s="49" t="n">
        <f aca="false">IF(B53,B53*20+100,0)</f>
        <v>0</v>
      </c>
      <c r="D53" s="49"/>
      <c r="E53" s="49" t="n">
        <f aca="false">IF(D53,D53*20+100,0)</f>
        <v>0</v>
      </c>
      <c r="F53" s="49"/>
      <c r="G53" s="49" t="n">
        <f aca="false">IF(F53,F53*20+100,0)</f>
        <v>0</v>
      </c>
      <c r="H53" s="49"/>
      <c r="I53" s="49" t="n">
        <f aca="false">IF(H53,H53*20+100,0)</f>
        <v>0</v>
      </c>
      <c r="J53" s="49"/>
      <c r="K53" s="49" t="n">
        <f aca="false">IF(J53,J53*20+100,0)</f>
        <v>0</v>
      </c>
      <c r="L53" s="49"/>
      <c r="M53" s="49" t="n">
        <f aca="false">IF(L53,L53*20+100,0)</f>
        <v>0</v>
      </c>
      <c r="N53" s="49"/>
      <c r="O53" s="49" t="n">
        <f aca="false">IF(N53,N53*20+100,0)</f>
        <v>0</v>
      </c>
      <c r="P53" s="49"/>
      <c r="Q53" s="50" t="n">
        <f aca="false">IF(P53,P53*20+100,0)</f>
        <v>0</v>
      </c>
      <c r="R53" s="49"/>
      <c r="S53" s="51" t="n">
        <f aca="false">IF(R53,R53*20+100,0)</f>
        <v>0</v>
      </c>
    </row>
    <row r="54" customFormat="false" ht="15" hidden="false" customHeight="false" outlineLevel="0" collapsed="false">
      <c r="A54" s="55" t="n">
        <v>5</v>
      </c>
      <c r="B54" s="49"/>
      <c r="C54" s="49" t="n">
        <f aca="false">IF(B54,B54*20+100,0)</f>
        <v>0</v>
      </c>
      <c r="D54" s="49"/>
      <c r="E54" s="49" t="n">
        <f aca="false">IF(D54,D54*20+100,0)</f>
        <v>0</v>
      </c>
      <c r="F54" s="49"/>
      <c r="G54" s="49" t="n">
        <f aca="false">IF(F54,F54*20+100,0)</f>
        <v>0</v>
      </c>
      <c r="H54" s="49"/>
      <c r="I54" s="49" t="n">
        <f aca="false">IF(H54,H54*20+100,0)</f>
        <v>0</v>
      </c>
      <c r="J54" s="49"/>
      <c r="K54" s="49" t="n">
        <f aca="false">IF(J54,J54*20+100,0)</f>
        <v>0</v>
      </c>
      <c r="L54" s="49"/>
      <c r="M54" s="49" t="n">
        <f aca="false">IF(L54,L54*20+100,0)</f>
        <v>0</v>
      </c>
      <c r="N54" s="49"/>
      <c r="O54" s="49" t="n">
        <f aca="false">IF(N54,N54*20+100,0)</f>
        <v>0</v>
      </c>
      <c r="P54" s="49"/>
      <c r="Q54" s="50" t="n">
        <f aca="false">IF(P54,P54*20+100,0)</f>
        <v>0</v>
      </c>
      <c r="R54" s="49"/>
      <c r="S54" s="51" t="n">
        <f aca="false">IF(R54,R54*20+100,0)</f>
        <v>0</v>
      </c>
    </row>
    <row r="55" customFormat="false" ht="15" hidden="false" customHeight="false" outlineLevel="0" collapsed="false">
      <c r="A55" s="55" t="n">
        <v>6</v>
      </c>
      <c r="B55" s="49"/>
      <c r="C55" s="49" t="n">
        <f aca="false">IF(B55,B55*20+100,0)</f>
        <v>0</v>
      </c>
      <c r="D55" s="49"/>
      <c r="E55" s="49" t="n">
        <f aca="false">IF(D55,D55*20+100,0)</f>
        <v>0</v>
      </c>
      <c r="F55" s="49"/>
      <c r="G55" s="49" t="n">
        <f aca="false">IF(F55,F55*20+100,0)</f>
        <v>0</v>
      </c>
      <c r="H55" s="49"/>
      <c r="I55" s="49" t="n">
        <f aca="false">IF(H55,H55*20+100,0)</f>
        <v>0</v>
      </c>
      <c r="J55" s="49"/>
      <c r="K55" s="49" t="n">
        <f aca="false">IF(J55,J55*20+100,0)</f>
        <v>0</v>
      </c>
      <c r="L55" s="49"/>
      <c r="M55" s="49" t="n">
        <f aca="false">IF(L55,L55*20+100,0)</f>
        <v>0</v>
      </c>
      <c r="N55" s="49"/>
      <c r="O55" s="49" t="n">
        <f aca="false">IF(N55,N55*20+100,0)</f>
        <v>0</v>
      </c>
      <c r="P55" s="49"/>
      <c r="Q55" s="50" t="n">
        <f aca="false">IF(P55,P55*20+100,0)</f>
        <v>0</v>
      </c>
      <c r="R55" s="49"/>
      <c r="S55" s="51" t="n">
        <f aca="false">IF(R55,R55*20+100,0)</f>
        <v>0</v>
      </c>
    </row>
    <row r="56" customFormat="false" ht="15" hidden="false" customHeight="false" outlineLevel="0" collapsed="false">
      <c r="A56" s="55" t="n">
        <v>7</v>
      </c>
      <c r="B56" s="49"/>
      <c r="C56" s="49" t="n">
        <f aca="false">IF(B56,B56*20+100,0)</f>
        <v>0</v>
      </c>
      <c r="D56" s="49"/>
      <c r="E56" s="49" t="n">
        <f aca="false">IF(D56,D56*20+100,0)</f>
        <v>0</v>
      </c>
      <c r="F56" s="49"/>
      <c r="G56" s="49" t="n">
        <f aca="false">IF(F56,F56*20+100,0)</f>
        <v>0</v>
      </c>
      <c r="H56" s="49"/>
      <c r="I56" s="49" t="n">
        <f aca="false">IF(H56,H56*20+100,0)</f>
        <v>0</v>
      </c>
      <c r="J56" s="49"/>
      <c r="K56" s="49" t="n">
        <f aca="false">IF(J56,J56*20+100,0)</f>
        <v>0</v>
      </c>
      <c r="L56" s="49"/>
      <c r="M56" s="49" t="n">
        <f aca="false">IF(L56,L56*20+100,0)</f>
        <v>0</v>
      </c>
      <c r="N56" s="49"/>
      <c r="O56" s="49" t="n">
        <f aca="false">IF(N56,N56*20+100,0)</f>
        <v>0</v>
      </c>
      <c r="P56" s="49"/>
      <c r="Q56" s="50" t="n">
        <f aca="false">IF(P56,P56*20+100,0)</f>
        <v>0</v>
      </c>
      <c r="R56" s="49"/>
      <c r="S56" s="51" t="n">
        <f aca="false">IF(R56,R56*20+100,0)</f>
        <v>0</v>
      </c>
    </row>
    <row r="57" customFormat="false" ht="15" hidden="false" customHeight="false" outlineLevel="0" collapsed="false">
      <c r="A57" s="55" t="n">
        <v>8</v>
      </c>
      <c r="B57" s="49"/>
      <c r="C57" s="49" t="n">
        <f aca="false">IF(B57,B57*20+100,0)</f>
        <v>0</v>
      </c>
      <c r="D57" s="49"/>
      <c r="E57" s="49" t="n">
        <f aca="false">IF(D57,D57*20+100,0)</f>
        <v>0</v>
      </c>
      <c r="F57" s="49"/>
      <c r="G57" s="49" t="n">
        <f aca="false">IF(F57,F57*20+100,0)</f>
        <v>0</v>
      </c>
      <c r="H57" s="49"/>
      <c r="I57" s="49" t="n">
        <f aca="false">IF(H57,H57*20+100,0)</f>
        <v>0</v>
      </c>
      <c r="J57" s="49"/>
      <c r="K57" s="49" t="n">
        <f aca="false">IF(J57,J57*20+100,0)</f>
        <v>0</v>
      </c>
      <c r="L57" s="49"/>
      <c r="M57" s="49" t="n">
        <f aca="false">IF(L57,L57*20+100,0)</f>
        <v>0</v>
      </c>
      <c r="N57" s="49"/>
      <c r="O57" s="49" t="n">
        <f aca="false">IF(N57,N57*20+100,0)</f>
        <v>0</v>
      </c>
      <c r="P57" s="49"/>
      <c r="Q57" s="50" t="n">
        <f aca="false">IF(P57,P57*20+100,0)</f>
        <v>0</v>
      </c>
      <c r="R57" s="49"/>
      <c r="S57" s="51" t="n">
        <f aca="false">IF(R57,R57*20+100,0)</f>
        <v>0</v>
      </c>
    </row>
    <row r="58" customFormat="false" ht="15" hidden="false" customHeight="false" outlineLevel="0" collapsed="false">
      <c r="A58" s="55" t="n">
        <v>9</v>
      </c>
      <c r="B58" s="49"/>
      <c r="C58" s="49" t="n">
        <f aca="false">IF(B58,B58*20+100,0)</f>
        <v>0</v>
      </c>
      <c r="D58" s="49"/>
      <c r="E58" s="49" t="n">
        <f aca="false">IF(D58,D58*20+100,0)</f>
        <v>0</v>
      </c>
      <c r="F58" s="49"/>
      <c r="G58" s="49" t="n">
        <f aca="false">IF(F58,F58*20+100,0)</f>
        <v>0</v>
      </c>
      <c r="H58" s="49"/>
      <c r="I58" s="49" t="n">
        <f aca="false">IF(H58,H58*20+100,0)</f>
        <v>0</v>
      </c>
      <c r="J58" s="49"/>
      <c r="K58" s="49" t="n">
        <f aca="false">IF(J58,J58*20+100,0)</f>
        <v>0</v>
      </c>
      <c r="L58" s="49"/>
      <c r="M58" s="49" t="n">
        <f aca="false">IF(L58,L58*20+100,0)</f>
        <v>0</v>
      </c>
      <c r="N58" s="49"/>
      <c r="O58" s="49" t="n">
        <f aca="false">IF(N58,N58*20+100,0)</f>
        <v>0</v>
      </c>
      <c r="P58" s="49"/>
      <c r="Q58" s="50" t="n">
        <f aca="false">IF(P58,P58*20+100,0)</f>
        <v>0</v>
      </c>
      <c r="R58" s="49"/>
      <c r="S58" s="51" t="n">
        <f aca="false">IF(R58,R58*20+100,0)</f>
        <v>0</v>
      </c>
    </row>
    <row r="59" customFormat="false" ht="15" hidden="false" customHeight="false" outlineLevel="0" collapsed="false">
      <c r="A59" s="55" t="n">
        <v>10</v>
      </c>
      <c r="B59" s="49"/>
      <c r="C59" s="49" t="n">
        <f aca="false">IF(B59,B59*20+100,0)</f>
        <v>0</v>
      </c>
      <c r="D59" s="49"/>
      <c r="E59" s="49" t="n">
        <f aca="false">IF(D59,D59*20+100,0)</f>
        <v>0</v>
      </c>
      <c r="F59" s="49"/>
      <c r="G59" s="49" t="n">
        <f aca="false">IF(F59,F59*20+100,0)</f>
        <v>0</v>
      </c>
      <c r="H59" s="49"/>
      <c r="I59" s="49" t="n">
        <f aca="false">IF(H59,H59*20+100,0)</f>
        <v>0</v>
      </c>
      <c r="J59" s="49"/>
      <c r="K59" s="49" t="n">
        <f aca="false">IF(J59,J59*20+100,0)</f>
        <v>0</v>
      </c>
      <c r="L59" s="49"/>
      <c r="M59" s="49" t="n">
        <f aca="false">IF(L59,L59*20+100,0)</f>
        <v>0</v>
      </c>
      <c r="N59" s="49"/>
      <c r="O59" s="49" t="n">
        <f aca="false">IF(N59,N59*20+100,0)</f>
        <v>0</v>
      </c>
      <c r="P59" s="49"/>
      <c r="Q59" s="50" t="n">
        <f aca="false">IF(P59,P59*20+100,0)</f>
        <v>0</v>
      </c>
      <c r="R59" s="49"/>
      <c r="S59" s="51" t="n">
        <f aca="false">IF(R59,R59*20+100,0)</f>
        <v>0</v>
      </c>
    </row>
    <row r="60" customFormat="false" ht="15" hidden="false" customHeight="false" outlineLevel="0" collapsed="false">
      <c r="A60" s="55" t="n">
        <v>11</v>
      </c>
      <c r="B60" s="49"/>
      <c r="C60" s="49" t="n">
        <f aca="false">IF(B60,B60*20+100,0)</f>
        <v>0</v>
      </c>
      <c r="D60" s="49"/>
      <c r="E60" s="49" t="n">
        <f aca="false">IF(D60,D60*20+100,0)</f>
        <v>0</v>
      </c>
      <c r="F60" s="49"/>
      <c r="G60" s="49" t="n">
        <f aca="false">IF(F60,F60*20+100,0)</f>
        <v>0</v>
      </c>
      <c r="H60" s="49"/>
      <c r="I60" s="49" t="n">
        <f aca="false">IF(H60,H60*20+100,0)</f>
        <v>0</v>
      </c>
      <c r="J60" s="49"/>
      <c r="K60" s="49" t="n">
        <f aca="false">IF(J60,J60*20+100,0)</f>
        <v>0</v>
      </c>
      <c r="L60" s="49"/>
      <c r="M60" s="49" t="n">
        <f aca="false">IF(L60,L60*20+100,0)</f>
        <v>0</v>
      </c>
      <c r="N60" s="49"/>
      <c r="O60" s="49" t="n">
        <f aca="false">IF(N60,N60*20+100,0)</f>
        <v>0</v>
      </c>
      <c r="P60" s="49"/>
      <c r="Q60" s="50" t="n">
        <f aca="false">IF(P60,P60*20+100,0)</f>
        <v>0</v>
      </c>
      <c r="R60" s="49"/>
      <c r="S60" s="51" t="n">
        <f aca="false">IF(R60,R60*20+100,0)</f>
        <v>0</v>
      </c>
    </row>
    <row r="61" customFormat="false" ht="15" hidden="false" customHeight="false" outlineLevel="0" collapsed="false">
      <c r="A61" s="55" t="n">
        <v>12</v>
      </c>
      <c r="B61" s="49"/>
      <c r="C61" s="49" t="n">
        <f aca="false">IF(B61,B61*20+100,0)</f>
        <v>0</v>
      </c>
      <c r="D61" s="49"/>
      <c r="E61" s="49" t="n">
        <f aca="false">IF(D61,D61*20+100,0)</f>
        <v>0</v>
      </c>
      <c r="F61" s="49"/>
      <c r="G61" s="49" t="n">
        <f aca="false">IF(F61,F61*20+100,0)</f>
        <v>0</v>
      </c>
      <c r="H61" s="49"/>
      <c r="I61" s="49" t="n">
        <f aca="false">IF(H61,H61*20+100,0)</f>
        <v>0</v>
      </c>
      <c r="J61" s="49"/>
      <c r="K61" s="49" t="n">
        <f aca="false">IF(J61,J61*20+100,0)</f>
        <v>0</v>
      </c>
      <c r="L61" s="49"/>
      <c r="M61" s="49" t="n">
        <f aca="false">IF(L61,L61*20+100,0)</f>
        <v>0</v>
      </c>
      <c r="N61" s="49"/>
      <c r="O61" s="49" t="n">
        <f aca="false">IF(N61,N61*20+100,0)</f>
        <v>0</v>
      </c>
      <c r="P61" s="49"/>
      <c r="Q61" s="50" t="n">
        <f aca="false">IF(P61,P61*20+100,0)</f>
        <v>0</v>
      </c>
      <c r="R61" s="49"/>
      <c r="S61" s="51" t="n">
        <f aca="false">IF(R61,R61*20+100,0)</f>
        <v>0</v>
      </c>
    </row>
    <row r="62" customFormat="false" ht="15" hidden="false" customHeight="false" outlineLevel="0" collapsed="false">
      <c r="A62" s="55" t="n">
        <v>13</v>
      </c>
      <c r="B62" s="49"/>
      <c r="C62" s="49" t="n">
        <f aca="false">IF(B62,B62*20+100,0)</f>
        <v>0</v>
      </c>
      <c r="D62" s="49"/>
      <c r="E62" s="49" t="n">
        <f aca="false">IF(D62,D62*20+100,0)</f>
        <v>0</v>
      </c>
      <c r="F62" s="49"/>
      <c r="G62" s="49" t="n">
        <f aca="false">IF(F62,F62*20+100,0)</f>
        <v>0</v>
      </c>
      <c r="H62" s="49"/>
      <c r="I62" s="49" t="n">
        <f aca="false">IF(H62,H62*20+100,0)</f>
        <v>0</v>
      </c>
      <c r="J62" s="49"/>
      <c r="K62" s="49" t="n">
        <f aca="false">IF(J62,J62*20+100,0)</f>
        <v>0</v>
      </c>
      <c r="L62" s="49"/>
      <c r="M62" s="49" t="n">
        <f aca="false">IF(L62,L62*20+100,0)</f>
        <v>0</v>
      </c>
      <c r="N62" s="49"/>
      <c r="O62" s="49" t="n">
        <f aca="false">IF(N62,N62*20+100,0)</f>
        <v>0</v>
      </c>
      <c r="P62" s="49"/>
      <c r="Q62" s="50" t="n">
        <f aca="false">IF(P62,P62*20+100,0)</f>
        <v>0</v>
      </c>
      <c r="R62" s="49"/>
      <c r="S62" s="51" t="n">
        <f aca="false">IF(R62,R62*20+100,0)</f>
        <v>0</v>
      </c>
    </row>
    <row r="63" customFormat="false" ht="15" hidden="false" customHeight="false" outlineLevel="0" collapsed="false">
      <c r="A63" s="55" t="n">
        <v>14</v>
      </c>
      <c r="B63" s="49"/>
      <c r="C63" s="49" t="n">
        <f aca="false">IF(B63,B63*20+100,0)</f>
        <v>0</v>
      </c>
      <c r="D63" s="49"/>
      <c r="E63" s="49" t="n">
        <f aca="false">IF(D63,D63*20+100,0)</f>
        <v>0</v>
      </c>
      <c r="F63" s="49"/>
      <c r="G63" s="49" t="n">
        <f aca="false">IF(F63,F63*20+100,0)</f>
        <v>0</v>
      </c>
      <c r="H63" s="49"/>
      <c r="I63" s="49" t="n">
        <f aca="false">IF(H63,H63*20+100,0)</f>
        <v>0</v>
      </c>
      <c r="J63" s="49"/>
      <c r="K63" s="49" t="n">
        <f aca="false">IF(J63,J63*20+100,0)</f>
        <v>0</v>
      </c>
      <c r="L63" s="49"/>
      <c r="M63" s="49" t="n">
        <f aca="false">IF(L63,L63*20+100,0)</f>
        <v>0</v>
      </c>
      <c r="N63" s="49"/>
      <c r="O63" s="49" t="n">
        <f aca="false">IF(N63,N63*20+100,0)</f>
        <v>0</v>
      </c>
      <c r="P63" s="49"/>
      <c r="Q63" s="50" t="n">
        <f aca="false">IF(P63,P63*20+100,0)</f>
        <v>0</v>
      </c>
      <c r="R63" s="49"/>
      <c r="S63" s="51" t="n">
        <f aca="false">IF(R63,R63*20+100,0)</f>
        <v>0</v>
      </c>
    </row>
    <row r="64" customFormat="false" ht="15" hidden="false" customHeight="false" outlineLevel="0" collapsed="false">
      <c r="A64" s="55" t="n">
        <v>15</v>
      </c>
      <c r="B64" s="49"/>
      <c r="C64" s="49" t="n">
        <f aca="false">IF(B64,B64*20+100,0)</f>
        <v>0</v>
      </c>
      <c r="D64" s="49"/>
      <c r="E64" s="49" t="n">
        <f aca="false">IF(D64,D64*20+100,0)</f>
        <v>0</v>
      </c>
      <c r="F64" s="49"/>
      <c r="G64" s="49" t="n">
        <f aca="false">IF(F64,F64*20+100,0)</f>
        <v>0</v>
      </c>
      <c r="H64" s="49"/>
      <c r="I64" s="49" t="n">
        <f aca="false">IF(H64,H64*20+100,0)</f>
        <v>0</v>
      </c>
      <c r="J64" s="49"/>
      <c r="K64" s="49" t="n">
        <f aca="false">IF(J64,J64*20+100,0)</f>
        <v>0</v>
      </c>
      <c r="L64" s="49"/>
      <c r="M64" s="49" t="n">
        <f aca="false">IF(L64,L64*20+100,0)</f>
        <v>0</v>
      </c>
      <c r="N64" s="49"/>
      <c r="O64" s="49" t="n">
        <f aca="false">IF(N64,N64*20+100,0)</f>
        <v>0</v>
      </c>
      <c r="P64" s="49"/>
      <c r="Q64" s="50" t="n">
        <f aca="false">IF(P64,P64*20+100,0)</f>
        <v>0</v>
      </c>
      <c r="R64" s="49"/>
      <c r="S64" s="51" t="n">
        <f aca="false">IF(R64,R64*20+100,0)</f>
        <v>0</v>
      </c>
    </row>
    <row r="65" customFormat="false" ht="15" hidden="false" customHeight="false" outlineLevel="0" collapsed="false">
      <c r="A65" s="55" t="n">
        <v>16</v>
      </c>
      <c r="B65" s="49"/>
      <c r="C65" s="49" t="n">
        <f aca="false">IF(B65,B65*20+100,0)</f>
        <v>0</v>
      </c>
      <c r="D65" s="49"/>
      <c r="E65" s="49" t="n">
        <f aca="false">IF(D65,D65*20+100,0)</f>
        <v>0</v>
      </c>
      <c r="F65" s="49"/>
      <c r="G65" s="49" t="n">
        <f aca="false">IF(F65,F65*20+100,0)</f>
        <v>0</v>
      </c>
      <c r="H65" s="49"/>
      <c r="I65" s="49" t="n">
        <f aca="false">IF(H65,H65*20+100,0)</f>
        <v>0</v>
      </c>
      <c r="J65" s="49"/>
      <c r="K65" s="49" t="n">
        <f aca="false">IF(J65,J65*20+100,0)</f>
        <v>0</v>
      </c>
      <c r="L65" s="49"/>
      <c r="M65" s="49" t="n">
        <f aca="false">IF(L65,L65*20+100,0)</f>
        <v>0</v>
      </c>
      <c r="N65" s="49"/>
      <c r="O65" s="49" t="n">
        <f aca="false">IF(N65,N65*20+100,0)</f>
        <v>0</v>
      </c>
      <c r="P65" s="49"/>
      <c r="Q65" s="50" t="n">
        <f aca="false">IF(P65,P65*20+100,0)</f>
        <v>0</v>
      </c>
      <c r="R65" s="49"/>
      <c r="S65" s="51" t="n">
        <f aca="false">IF(R65,R65*20+100,0)</f>
        <v>0</v>
      </c>
    </row>
    <row r="66" customFormat="false" ht="15" hidden="false" customHeight="false" outlineLevel="0" collapsed="false">
      <c r="A66" s="55" t="n">
        <v>17</v>
      </c>
      <c r="B66" s="49"/>
      <c r="C66" s="49" t="n">
        <f aca="false">IF(B66,B66*20+100,0)</f>
        <v>0</v>
      </c>
      <c r="D66" s="49"/>
      <c r="E66" s="49" t="n">
        <f aca="false">IF(D66,D66*20+100,0)</f>
        <v>0</v>
      </c>
      <c r="F66" s="49"/>
      <c r="G66" s="49" t="n">
        <f aca="false">IF(F66,F66*20+100,0)</f>
        <v>0</v>
      </c>
      <c r="H66" s="49"/>
      <c r="I66" s="49" t="n">
        <f aca="false">IF(H66,H66*20+100,0)</f>
        <v>0</v>
      </c>
      <c r="J66" s="49"/>
      <c r="K66" s="49" t="n">
        <f aca="false">IF(J66,J66*20+100,0)</f>
        <v>0</v>
      </c>
      <c r="L66" s="49"/>
      <c r="M66" s="49" t="n">
        <f aca="false">IF(L66,L66*20+100,0)</f>
        <v>0</v>
      </c>
      <c r="N66" s="49"/>
      <c r="O66" s="49" t="n">
        <f aca="false">IF(N66,N66*20+100,0)</f>
        <v>0</v>
      </c>
      <c r="P66" s="49"/>
      <c r="Q66" s="50" t="n">
        <f aca="false">IF(P66,P66*20+100,0)</f>
        <v>0</v>
      </c>
      <c r="R66" s="49"/>
      <c r="S66" s="51" t="n">
        <f aca="false">IF(R66,R66*20+100,0)</f>
        <v>0</v>
      </c>
    </row>
    <row r="67" customFormat="false" ht="15" hidden="false" customHeight="false" outlineLevel="0" collapsed="false">
      <c r="A67" s="55" t="n">
        <v>18</v>
      </c>
      <c r="B67" s="49"/>
      <c r="C67" s="49" t="n">
        <f aca="false">IF(B67,B67*20+100,0)</f>
        <v>0</v>
      </c>
      <c r="D67" s="49"/>
      <c r="E67" s="49" t="n">
        <f aca="false">IF(D67,D67*20+100,0)</f>
        <v>0</v>
      </c>
      <c r="F67" s="49"/>
      <c r="G67" s="49" t="n">
        <f aca="false">IF(F67,F67*20+100,0)</f>
        <v>0</v>
      </c>
      <c r="H67" s="49"/>
      <c r="I67" s="49" t="n">
        <f aca="false">IF(H67,H67*20+100,0)</f>
        <v>0</v>
      </c>
      <c r="J67" s="49"/>
      <c r="K67" s="49" t="n">
        <f aca="false">IF(J67,J67*20+100,0)</f>
        <v>0</v>
      </c>
      <c r="L67" s="49"/>
      <c r="M67" s="49" t="n">
        <f aca="false">IF(L67,L67*20+100,0)</f>
        <v>0</v>
      </c>
      <c r="N67" s="49"/>
      <c r="O67" s="49" t="n">
        <f aca="false">IF(N67,N67*20+100,0)</f>
        <v>0</v>
      </c>
      <c r="P67" s="49"/>
      <c r="Q67" s="50" t="n">
        <f aca="false">IF(P67,P67*20+100,0)</f>
        <v>0</v>
      </c>
      <c r="R67" s="49"/>
      <c r="S67" s="51" t="n">
        <f aca="false">IF(R67,R67*20+100,0)</f>
        <v>0</v>
      </c>
    </row>
    <row r="68" customFormat="false" ht="15" hidden="false" customHeight="false" outlineLevel="0" collapsed="false">
      <c r="A68" s="55" t="n">
        <v>19</v>
      </c>
      <c r="B68" s="49"/>
      <c r="C68" s="49" t="n">
        <f aca="false">IF(B68,B68*20+100,0)</f>
        <v>0</v>
      </c>
      <c r="D68" s="49"/>
      <c r="E68" s="49" t="n">
        <f aca="false">IF(D68,D68*20+100,0)</f>
        <v>0</v>
      </c>
      <c r="F68" s="49"/>
      <c r="G68" s="49" t="n">
        <f aca="false">IF(F68,F68*20+100,0)</f>
        <v>0</v>
      </c>
      <c r="H68" s="49"/>
      <c r="I68" s="49" t="n">
        <f aca="false">IF(H68,H68*20+100,0)</f>
        <v>0</v>
      </c>
      <c r="J68" s="49"/>
      <c r="K68" s="49" t="n">
        <f aca="false">IF(J68,J68*20+100,0)</f>
        <v>0</v>
      </c>
      <c r="L68" s="49"/>
      <c r="M68" s="49" t="n">
        <f aca="false">IF(L68,L68*20+100,0)</f>
        <v>0</v>
      </c>
      <c r="N68" s="49"/>
      <c r="O68" s="49" t="n">
        <f aca="false">IF(N68,N68*20+100,0)</f>
        <v>0</v>
      </c>
      <c r="P68" s="49"/>
      <c r="Q68" s="50" t="n">
        <f aca="false">IF(P68,P68*20+100,0)</f>
        <v>0</v>
      </c>
      <c r="R68" s="49"/>
      <c r="S68" s="51" t="n">
        <f aca="false">IF(R68,R68*20+100,0)</f>
        <v>0</v>
      </c>
    </row>
    <row r="69" customFormat="false" ht="15" hidden="false" customHeight="false" outlineLevel="0" collapsed="false">
      <c r="A69" s="55" t="n">
        <v>20</v>
      </c>
      <c r="B69" s="49"/>
      <c r="C69" s="49" t="n">
        <f aca="false">IF(B69,B69*20+100,0)</f>
        <v>0</v>
      </c>
      <c r="D69" s="49"/>
      <c r="E69" s="49" t="n">
        <f aca="false">IF(D69,D69*20+100,0)</f>
        <v>0</v>
      </c>
      <c r="F69" s="49"/>
      <c r="G69" s="49" t="n">
        <f aca="false">IF(F69,F69*20+100,0)</f>
        <v>0</v>
      </c>
      <c r="H69" s="49"/>
      <c r="I69" s="49" t="n">
        <f aca="false">IF(H69,H69*20+100,0)</f>
        <v>0</v>
      </c>
      <c r="J69" s="49"/>
      <c r="K69" s="49" t="n">
        <f aca="false">IF(J69,J69*20+100,0)</f>
        <v>0</v>
      </c>
      <c r="L69" s="49"/>
      <c r="M69" s="49" t="n">
        <f aca="false">IF(L69,L69*20+100,0)</f>
        <v>0</v>
      </c>
      <c r="N69" s="49"/>
      <c r="O69" s="49" t="n">
        <f aca="false">IF(N69,N69*20+100,0)</f>
        <v>0</v>
      </c>
      <c r="P69" s="49"/>
      <c r="Q69" s="50" t="n">
        <f aca="false">IF(P69,P69*20+100,0)</f>
        <v>0</v>
      </c>
      <c r="R69" s="49"/>
      <c r="S69" s="51" t="n">
        <f aca="false">IF(R69,R69*20+100,0)</f>
        <v>0</v>
      </c>
    </row>
    <row r="70" customFormat="false" ht="15" hidden="false" customHeight="false" outlineLevel="0" collapsed="false">
      <c r="A70" s="55" t="n">
        <v>21</v>
      </c>
      <c r="B70" s="49"/>
      <c r="C70" s="49" t="n">
        <f aca="false">IF(B70,B70*20+100,0)</f>
        <v>0</v>
      </c>
      <c r="D70" s="49"/>
      <c r="E70" s="49" t="n">
        <f aca="false">IF(D70,D70*20+100,0)</f>
        <v>0</v>
      </c>
      <c r="F70" s="49"/>
      <c r="G70" s="49" t="n">
        <f aca="false">IF(F70,F70*20+100,0)</f>
        <v>0</v>
      </c>
      <c r="H70" s="49"/>
      <c r="I70" s="49" t="n">
        <f aca="false">IF(H70,H70*20+100,0)</f>
        <v>0</v>
      </c>
      <c r="J70" s="49"/>
      <c r="K70" s="49" t="n">
        <f aca="false">IF(J70,J70*20+100,0)</f>
        <v>0</v>
      </c>
      <c r="L70" s="49"/>
      <c r="M70" s="49" t="n">
        <f aca="false">IF(L70,L70*20+100,0)</f>
        <v>0</v>
      </c>
      <c r="N70" s="49"/>
      <c r="O70" s="49" t="n">
        <f aca="false">IF(N70,N70*20+100,0)</f>
        <v>0</v>
      </c>
      <c r="P70" s="49"/>
      <c r="Q70" s="50" t="n">
        <f aca="false">IF(P70,P70*20+100,0)</f>
        <v>0</v>
      </c>
      <c r="R70" s="49"/>
      <c r="S70" s="51" t="n">
        <f aca="false">IF(R70,R70*20+100,0)</f>
        <v>0</v>
      </c>
    </row>
    <row r="71" customFormat="false" ht="15" hidden="false" customHeight="false" outlineLevel="0" collapsed="false">
      <c r="A71" s="55" t="n">
        <v>22</v>
      </c>
      <c r="B71" s="49"/>
      <c r="C71" s="49" t="n">
        <f aca="false">IF(B71,B71*20+100,0)</f>
        <v>0</v>
      </c>
      <c r="D71" s="49"/>
      <c r="E71" s="49" t="n">
        <f aca="false">IF(D71,D71*20+100,0)</f>
        <v>0</v>
      </c>
      <c r="F71" s="49"/>
      <c r="G71" s="49" t="n">
        <f aca="false">IF(F71,F71*20+100,0)</f>
        <v>0</v>
      </c>
      <c r="H71" s="49"/>
      <c r="I71" s="49" t="n">
        <f aca="false">IF(H71,H71*20+100,0)</f>
        <v>0</v>
      </c>
      <c r="J71" s="49"/>
      <c r="K71" s="49" t="n">
        <f aca="false">IF(J71,J71*20+100,0)</f>
        <v>0</v>
      </c>
      <c r="L71" s="49"/>
      <c r="M71" s="49" t="n">
        <f aca="false">IF(L71,L71*20+100,0)</f>
        <v>0</v>
      </c>
      <c r="N71" s="49"/>
      <c r="O71" s="49" t="n">
        <f aca="false">IF(N71,N71*20+100,0)</f>
        <v>0</v>
      </c>
      <c r="P71" s="49"/>
      <c r="Q71" s="50" t="n">
        <f aca="false">IF(P71,P71*20+100,0)</f>
        <v>0</v>
      </c>
      <c r="R71" s="49"/>
      <c r="S71" s="51" t="n">
        <f aca="false">IF(R71,R71*20+100,0)</f>
        <v>0</v>
      </c>
    </row>
    <row r="72" customFormat="false" ht="15" hidden="false" customHeight="false" outlineLevel="0" collapsed="false">
      <c r="A72" s="55" t="n">
        <v>23</v>
      </c>
      <c r="B72" s="49"/>
      <c r="C72" s="49" t="n">
        <f aca="false">IF(B72,B72*20+100,0)</f>
        <v>0</v>
      </c>
      <c r="D72" s="49"/>
      <c r="E72" s="49" t="n">
        <f aca="false">IF(D72,D72*20+100,0)</f>
        <v>0</v>
      </c>
      <c r="F72" s="49"/>
      <c r="G72" s="49" t="n">
        <f aca="false">IF(F72,F72*20+100,0)</f>
        <v>0</v>
      </c>
      <c r="H72" s="49"/>
      <c r="I72" s="49" t="n">
        <f aca="false">IF(H72,H72*20+100,0)</f>
        <v>0</v>
      </c>
      <c r="J72" s="49"/>
      <c r="K72" s="49" t="n">
        <f aca="false">IF(J72,J72*20+100,0)</f>
        <v>0</v>
      </c>
      <c r="L72" s="49"/>
      <c r="M72" s="49" t="n">
        <f aca="false">IF(L72,L72*20+100,0)</f>
        <v>0</v>
      </c>
      <c r="N72" s="49"/>
      <c r="O72" s="49" t="n">
        <f aca="false">IF(N72,N72*20+100,0)</f>
        <v>0</v>
      </c>
      <c r="P72" s="49"/>
      <c r="Q72" s="50" t="n">
        <f aca="false">IF(P72,P72*20+100,0)</f>
        <v>0</v>
      </c>
      <c r="R72" s="49"/>
      <c r="S72" s="51" t="n">
        <f aca="false">IF(R72,R72*20+100,0)</f>
        <v>0</v>
      </c>
    </row>
    <row r="73" customFormat="false" ht="15" hidden="false" customHeight="false" outlineLevel="0" collapsed="false">
      <c r="A73" s="55" t="n">
        <v>24</v>
      </c>
      <c r="B73" s="49"/>
      <c r="C73" s="49" t="n">
        <f aca="false">IF(B73,B73*20+100,0)</f>
        <v>0</v>
      </c>
      <c r="D73" s="49"/>
      <c r="E73" s="49" t="n">
        <f aca="false">IF(D73,D73*20+100,0)</f>
        <v>0</v>
      </c>
      <c r="F73" s="49"/>
      <c r="G73" s="49" t="n">
        <f aca="false">IF(F73,F73*20+100,0)</f>
        <v>0</v>
      </c>
      <c r="H73" s="49"/>
      <c r="I73" s="49" t="n">
        <f aca="false">IF(H73,H73*20+100,0)</f>
        <v>0</v>
      </c>
      <c r="J73" s="49"/>
      <c r="K73" s="49" t="n">
        <f aca="false">IF(J73,J73*20+100,0)</f>
        <v>0</v>
      </c>
      <c r="L73" s="49"/>
      <c r="M73" s="49" t="n">
        <f aca="false">IF(L73,L73*20+100,0)</f>
        <v>0</v>
      </c>
      <c r="N73" s="49"/>
      <c r="O73" s="49" t="n">
        <f aca="false">IF(N73,N73*20+100,0)</f>
        <v>0</v>
      </c>
      <c r="P73" s="49"/>
      <c r="Q73" s="50" t="n">
        <f aca="false">IF(P73,P73*20+100,0)</f>
        <v>0</v>
      </c>
      <c r="R73" s="49"/>
      <c r="S73" s="51" t="n">
        <f aca="false">IF(R73,R73*20+100,0)</f>
        <v>0</v>
      </c>
    </row>
    <row r="74" customFormat="false" ht="15" hidden="false" customHeight="false" outlineLevel="0" collapsed="false">
      <c r="A74" s="55" t="n">
        <v>25</v>
      </c>
      <c r="B74" s="49"/>
      <c r="C74" s="49" t="n">
        <f aca="false">IF(B74,B74*20+100,0)</f>
        <v>0</v>
      </c>
      <c r="D74" s="49"/>
      <c r="E74" s="49" t="n">
        <f aca="false">IF(D74,D74*20+100,0)</f>
        <v>0</v>
      </c>
      <c r="F74" s="49"/>
      <c r="G74" s="49" t="n">
        <f aca="false">IF(F74,F74*20+100,0)</f>
        <v>0</v>
      </c>
      <c r="H74" s="49"/>
      <c r="I74" s="49" t="n">
        <f aca="false">IF(H74,H74*20+100,0)</f>
        <v>0</v>
      </c>
      <c r="J74" s="49"/>
      <c r="K74" s="49" t="n">
        <f aca="false">IF(J74,J74*20+100,0)</f>
        <v>0</v>
      </c>
      <c r="L74" s="49"/>
      <c r="M74" s="49" t="n">
        <f aca="false">IF(L74,L74*20+100,0)</f>
        <v>0</v>
      </c>
      <c r="N74" s="49"/>
      <c r="O74" s="49" t="n">
        <f aca="false">IF(N74,N74*20+100,0)</f>
        <v>0</v>
      </c>
      <c r="P74" s="49"/>
      <c r="Q74" s="50" t="n">
        <f aca="false">IF(P74,P74*20+100,0)</f>
        <v>0</v>
      </c>
      <c r="R74" s="49"/>
      <c r="S74" s="51" t="n">
        <f aca="false">IF(R74,R74*20+100,0)</f>
        <v>0</v>
      </c>
    </row>
    <row r="75" customFormat="false" ht="15" hidden="false" customHeight="false" outlineLevel="0" collapsed="false">
      <c r="A75" s="55" t="n">
        <v>26</v>
      </c>
      <c r="B75" s="49"/>
      <c r="C75" s="49" t="n">
        <f aca="false">IF(B75,B75*20+100,0)</f>
        <v>0</v>
      </c>
      <c r="D75" s="49"/>
      <c r="E75" s="49" t="n">
        <f aca="false">IF(D75,D75*20+100,0)</f>
        <v>0</v>
      </c>
      <c r="F75" s="49"/>
      <c r="G75" s="49" t="n">
        <f aca="false">IF(F75,F75*20+100,0)</f>
        <v>0</v>
      </c>
      <c r="H75" s="49"/>
      <c r="I75" s="49" t="n">
        <f aca="false">IF(H75,H75*20+100,0)</f>
        <v>0</v>
      </c>
      <c r="J75" s="49"/>
      <c r="K75" s="49" t="n">
        <f aca="false">IF(J75,J75*20+100,0)</f>
        <v>0</v>
      </c>
      <c r="L75" s="49"/>
      <c r="M75" s="49" t="n">
        <f aca="false">IF(L75,L75*20+100,0)</f>
        <v>0</v>
      </c>
      <c r="N75" s="49"/>
      <c r="O75" s="49" t="n">
        <f aca="false">IF(N75,N75*20+100,0)</f>
        <v>0</v>
      </c>
      <c r="P75" s="49"/>
      <c r="Q75" s="50" t="n">
        <f aca="false">IF(P75,P75*20+100,0)</f>
        <v>0</v>
      </c>
      <c r="R75" s="49"/>
      <c r="S75" s="51" t="n">
        <f aca="false">IF(R75,R75*20+100,0)</f>
        <v>0</v>
      </c>
    </row>
    <row r="76" customFormat="false" ht="15" hidden="false" customHeight="false" outlineLevel="0" collapsed="false">
      <c r="A76" s="55" t="n">
        <v>27</v>
      </c>
      <c r="B76" s="49"/>
      <c r="C76" s="49" t="n">
        <f aca="false">IF(B76,B76*20+100,0)</f>
        <v>0</v>
      </c>
      <c r="D76" s="49"/>
      <c r="E76" s="49" t="n">
        <f aca="false">IF(D76,D76*20+100,0)</f>
        <v>0</v>
      </c>
      <c r="F76" s="49"/>
      <c r="G76" s="49" t="n">
        <f aca="false">IF(F76,F76*20+100,0)</f>
        <v>0</v>
      </c>
      <c r="H76" s="49"/>
      <c r="I76" s="49" t="n">
        <f aca="false">IF(H76,H76*20+100,0)</f>
        <v>0</v>
      </c>
      <c r="J76" s="49"/>
      <c r="K76" s="49" t="n">
        <f aca="false">IF(J76,J76*20+100,0)</f>
        <v>0</v>
      </c>
      <c r="L76" s="49"/>
      <c r="M76" s="49" t="n">
        <f aca="false">IF(L76,L76*20+100,0)</f>
        <v>0</v>
      </c>
      <c r="N76" s="49"/>
      <c r="O76" s="49" t="n">
        <f aca="false">IF(N76,N76*20+100,0)</f>
        <v>0</v>
      </c>
      <c r="P76" s="49"/>
      <c r="Q76" s="50" t="n">
        <f aca="false">IF(P76,P76*20+100,0)</f>
        <v>0</v>
      </c>
      <c r="R76" s="49"/>
      <c r="S76" s="51" t="n">
        <f aca="false">IF(R76,R76*20+100,0)</f>
        <v>0</v>
      </c>
    </row>
    <row r="77" customFormat="false" ht="15" hidden="false" customHeight="false" outlineLevel="0" collapsed="false">
      <c r="A77" s="55" t="n">
        <v>28</v>
      </c>
      <c r="B77" s="49"/>
      <c r="C77" s="49" t="n">
        <f aca="false">IF(B77,B77*20+100,0)</f>
        <v>0</v>
      </c>
      <c r="D77" s="49"/>
      <c r="E77" s="49" t="n">
        <f aca="false">IF(D77,D77*20+100,0)</f>
        <v>0</v>
      </c>
      <c r="F77" s="49"/>
      <c r="G77" s="49" t="n">
        <f aca="false">IF(F77,F77*20+100,0)</f>
        <v>0</v>
      </c>
      <c r="H77" s="49"/>
      <c r="I77" s="49" t="n">
        <f aca="false">IF(H77,H77*20+100,0)</f>
        <v>0</v>
      </c>
      <c r="J77" s="49"/>
      <c r="K77" s="49" t="n">
        <f aca="false">IF(J77,J77*20+100,0)</f>
        <v>0</v>
      </c>
      <c r="L77" s="49"/>
      <c r="M77" s="49" t="n">
        <f aca="false">IF(L77,L77*20+100,0)</f>
        <v>0</v>
      </c>
      <c r="N77" s="49"/>
      <c r="O77" s="49" t="n">
        <f aca="false">IF(N77,N77*20+100,0)</f>
        <v>0</v>
      </c>
      <c r="P77" s="49"/>
      <c r="Q77" s="50" t="n">
        <f aca="false">IF(P77,P77*20+100,0)</f>
        <v>0</v>
      </c>
      <c r="R77" s="49"/>
      <c r="S77" s="51" t="n">
        <f aca="false">IF(R77,R77*20+100,0)</f>
        <v>0</v>
      </c>
    </row>
    <row r="78" customFormat="false" ht="15" hidden="false" customHeight="false" outlineLevel="0" collapsed="false">
      <c r="A78" s="55" t="n">
        <v>29</v>
      </c>
      <c r="B78" s="49"/>
      <c r="C78" s="49" t="n">
        <f aca="false">IF(B78,B78*20+100,0)</f>
        <v>0</v>
      </c>
      <c r="D78" s="49"/>
      <c r="E78" s="49" t="n">
        <f aca="false">IF(D78,D78*20+100,0)</f>
        <v>0</v>
      </c>
      <c r="F78" s="49"/>
      <c r="G78" s="49" t="n">
        <f aca="false">IF(F78,F78*20+100,0)</f>
        <v>0</v>
      </c>
      <c r="H78" s="49"/>
      <c r="I78" s="49" t="n">
        <f aca="false">IF(H78,H78*20+100,0)</f>
        <v>0</v>
      </c>
      <c r="J78" s="49"/>
      <c r="K78" s="49" t="n">
        <f aca="false">IF(J78,J78*20+100,0)</f>
        <v>0</v>
      </c>
      <c r="L78" s="49"/>
      <c r="M78" s="49" t="n">
        <f aca="false">IF(L78,L78*20+100,0)</f>
        <v>0</v>
      </c>
      <c r="N78" s="49"/>
      <c r="O78" s="49" t="n">
        <f aca="false">IF(N78,N78*20+100,0)</f>
        <v>0</v>
      </c>
      <c r="P78" s="49"/>
      <c r="Q78" s="50" t="n">
        <f aca="false">IF(P78,P78*20+100,0)</f>
        <v>0</v>
      </c>
      <c r="R78" s="49"/>
      <c r="S78" s="51" t="n">
        <f aca="false">IF(R78,R78*20+100,0)</f>
        <v>0</v>
      </c>
    </row>
    <row r="79" customFormat="false" ht="15" hidden="false" customHeight="false" outlineLevel="0" collapsed="false">
      <c r="A79" s="55" t="n">
        <v>30</v>
      </c>
      <c r="B79" s="49"/>
      <c r="C79" s="49" t="n">
        <f aca="false">IF(B79,B79*20+100,0)</f>
        <v>0</v>
      </c>
      <c r="D79" s="49"/>
      <c r="E79" s="49" t="n">
        <f aca="false">IF(D79,D79*20+100,0)</f>
        <v>0</v>
      </c>
      <c r="F79" s="49"/>
      <c r="G79" s="49" t="n">
        <f aca="false">IF(F79,F79*20+100,0)</f>
        <v>0</v>
      </c>
      <c r="H79" s="49"/>
      <c r="I79" s="49" t="n">
        <f aca="false">IF(H79,H79*20+100,0)</f>
        <v>0</v>
      </c>
      <c r="J79" s="49"/>
      <c r="K79" s="49" t="n">
        <f aca="false">IF(J79,J79*20+100,0)</f>
        <v>0</v>
      </c>
      <c r="L79" s="49"/>
      <c r="M79" s="49" t="n">
        <f aca="false">IF(L79,L79*20+100,0)</f>
        <v>0</v>
      </c>
      <c r="N79" s="49"/>
      <c r="O79" s="49" t="n">
        <f aca="false">IF(N79,N79*20+100,0)</f>
        <v>0</v>
      </c>
      <c r="P79" s="49"/>
      <c r="Q79" s="50" t="n">
        <f aca="false">IF(P79,P79*20+100,0)</f>
        <v>0</v>
      </c>
      <c r="R79" s="49"/>
      <c r="S79" s="51" t="n">
        <f aca="false">IF(R79,R79*20+100,0)</f>
        <v>0</v>
      </c>
    </row>
    <row r="80" customFormat="false" ht="44.25" hidden="false" customHeight="true" outlineLevel="0" collapsed="false">
      <c r="A80" s="69"/>
      <c r="B80" s="57" t="s">
        <v>53</v>
      </c>
      <c r="C80" s="58" t="n">
        <f aca="false">SUM(C50:C79)</f>
        <v>0</v>
      </c>
      <c r="D80" s="57" t="s">
        <v>53</v>
      </c>
      <c r="E80" s="58" t="n">
        <f aca="false">SUM(E50:E79)</f>
        <v>0</v>
      </c>
      <c r="F80" s="57" t="s">
        <v>53</v>
      </c>
      <c r="G80" s="58" t="n">
        <f aca="false">SUM(G50:G79)</f>
        <v>640</v>
      </c>
      <c r="H80" s="57" t="s">
        <v>53</v>
      </c>
      <c r="I80" s="58" t="n">
        <f aca="false">SUM(I50:I79)</f>
        <v>600</v>
      </c>
      <c r="J80" s="57" t="s">
        <v>53</v>
      </c>
      <c r="K80" s="58" t="n">
        <f aca="false">SUM(K50:K79)</f>
        <v>840</v>
      </c>
      <c r="L80" s="57" t="s">
        <v>53</v>
      </c>
      <c r="M80" s="58" t="n">
        <f aca="false">SUM(M50:M79)</f>
        <v>0</v>
      </c>
      <c r="N80" s="57" t="s">
        <v>53</v>
      </c>
      <c r="O80" s="58" t="n">
        <f aca="false">SUM(O50:O79)</f>
        <v>540</v>
      </c>
      <c r="P80" s="57" t="s">
        <v>53</v>
      </c>
      <c r="Q80" s="58" t="n">
        <f aca="false">SUM(Q50:Q79)</f>
        <v>0</v>
      </c>
      <c r="R80" s="57" t="s">
        <v>53</v>
      </c>
      <c r="S80" s="51" t="n">
        <f aca="false">SUM(S50:S79)</f>
        <v>0</v>
      </c>
    </row>
    <row r="81" customFormat="false" ht="39.75" hidden="false" customHeight="true" outlineLevel="0" collapsed="false">
      <c r="A81" s="70"/>
      <c r="B81" s="59" t="s">
        <v>54</v>
      </c>
      <c r="C81" s="58" t="n">
        <f aca="false">IF(C80=0,9,RANK(C80,$C$80:$S$80,0))</f>
        <v>9</v>
      </c>
      <c r="D81" s="59" t="s">
        <v>54</v>
      </c>
      <c r="E81" s="58" t="n">
        <f aca="false">IF(E80=0,9,RANK(E80,$C$80:$S$80,0))</f>
        <v>9</v>
      </c>
      <c r="F81" s="59" t="s">
        <v>54</v>
      </c>
      <c r="G81" s="58" t="n">
        <f aca="false">IF(G80=0,9,RANK(G80,$C$80:$S$80,0))</f>
        <v>2</v>
      </c>
      <c r="H81" s="59" t="s">
        <v>54</v>
      </c>
      <c r="I81" s="58" t="n">
        <f aca="false">IF(I80=0,9,RANK(I80,$C$80:$S$80,0))</f>
        <v>3</v>
      </c>
      <c r="J81" s="59" t="s">
        <v>54</v>
      </c>
      <c r="K81" s="58" t="n">
        <f aca="false">IF(K80=0,9,RANK(K80,$C$80:$S$80,0))</f>
        <v>1</v>
      </c>
      <c r="L81" s="59" t="s">
        <v>54</v>
      </c>
      <c r="M81" s="58" t="n">
        <f aca="false">IF(M80=0,9,RANK(M80,$C$80:$S$80,0))</f>
        <v>9</v>
      </c>
      <c r="N81" s="59" t="s">
        <v>54</v>
      </c>
      <c r="O81" s="58" t="n">
        <f aca="false">IF(O80=0,9,RANK(O80,$C$80:$S$80,0))</f>
        <v>4</v>
      </c>
      <c r="P81" s="59" t="s">
        <v>54</v>
      </c>
      <c r="Q81" s="58" t="n">
        <f aca="false">IF(Q80=0,9,RANK(Q80,$C$80:$S$80,0))</f>
        <v>9</v>
      </c>
      <c r="R81" s="59" t="s">
        <v>54</v>
      </c>
      <c r="S81" s="66" t="n">
        <f aca="false">IF(S80=0,9,RANK(S80,$C$80:$S$80,0))</f>
        <v>9</v>
      </c>
    </row>
    <row r="82" customFormat="false" ht="15" hidden="false" customHeight="true" outlineLevel="0" collapsed="false">
      <c r="A82" s="60"/>
      <c r="B82" s="57" t="s">
        <v>55</v>
      </c>
      <c r="C82" s="49" t="n">
        <f aca="false">COUNT(B50:B79)</f>
        <v>0</v>
      </c>
      <c r="D82" s="57" t="s">
        <v>55</v>
      </c>
      <c r="E82" s="49" t="n">
        <f aca="false">COUNT(D50:D79)</f>
        <v>0</v>
      </c>
      <c r="F82" s="57" t="s">
        <v>55</v>
      </c>
      <c r="G82" s="49" t="n">
        <f aca="false">COUNT(F50:F79)</f>
        <v>1</v>
      </c>
      <c r="H82" s="57" t="s">
        <v>55</v>
      </c>
      <c r="I82" s="49" t="n">
        <f aca="false">COUNT(H50:H79)</f>
        <v>1</v>
      </c>
      <c r="J82" s="57" t="s">
        <v>55</v>
      </c>
      <c r="K82" s="49" t="n">
        <f aca="false">COUNT(J50:J79)</f>
        <v>1</v>
      </c>
      <c r="L82" s="57" t="s">
        <v>55</v>
      </c>
      <c r="M82" s="49" t="n">
        <f aca="false">COUNT(L50:L79)</f>
        <v>0</v>
      </c>
      <c r="N82" s="57" t="s">
        <v>55</v>
      </c>
      <c r="O82" s="49" t="n">
        <f aca="false">COUNT(N50:N79)</f>
        <v>1</v>
      </c>
      <c r="P82" s="57" t="s">
        <v>55</v>
      </c>
      <c r="Q82" s="50" t="n">
        <f aca="false">COUNT(P50:P79)</f>
        <v>0</v>
      </c>
      <c r="R82" s="57" t="s">
        <v>55</v>
      </c>
      <c r="S82" s="51" t="n">
        <f aca="false">COUNT(R50:R79)</f>
        <v>0</v>
      </c>
    </row>
    <row r="83" customFormat="false" ht="15" hidden="false" customHeight="false" outlineLevel="0" collapsed="false">
      <c r="A83" s="60"/>
      <c r="B83" s="57"/>
      <c r="C83" s="49"/>
      <c r="D83" s="57"/>
      <c r="E83" s="49"/>
      <c r="F83" s="57"/>
      <c r="G83" s="49"/>
      <c r="H83" s="57"/>
      <c r="I83" s="49"/>
      <c r="J83" s="57"/>
      <c r="K83" s="49"/>
      <c r="L83" s="57"/>
      <c r="M83" s="49"/>
      <c r="N83" s="57"/>
      <c r="O83" s="49"/>
      <c r="P83" s="57"/>
      <c r="Q83" s="50"/>
      <c r="R83" s="57"/>
      <c r="S83" s="51"/>
    </row>
    <row r="84" customFormat="false" ht="15" hidden="false" customHeight="false" outlineLevel="0" collapsed="false">
      <c r="A84" s="60"/>
      <c r="B84" s="57"/>
      <c r="C84" s="49"/>
      <c r="D84" s="57"/>
      <c r="E84" s="49"/>
      <c r="F84" s="57"/>
      <c r="G84" s="49"/>
      <c r="H84" s="57"/>
      <c r="I84" s="49"/>
      <c r="J84" s="57"/>
      <c r="K84" s="49"/>
      <c r="L84" s="57"/>
      <c r="M84" s="49"/>
      <c r="N84" s="57"/>
      <c r="O84" s="49"/>
      <c r="P84" s="57"/>
      <c r="Q84" s="50"/>
      <c r="R84" s="57"/>
      <c r="S84" s="51"/>
    </row>
    <row r="85" customFormat="false" ht="42.75" hidden="false" customHeight="true" outlineLevel="0" collapsed="false">
      <c r="A85" s="61"/>
      <c r="B85" s="62" t="s">
        <v>56</v>
      </c>
      <c r="C85" s="62" t="n">
        <f aca="false">MAX(B50:B79)</f>
        <v>0</v>
      </c>
      <c r="D85" s="62" t="s">
        <v>56</v>
      </c>
      <c r="E85" s="62" t="n">
        <f aca="false">MAX(D50:D79)</f>
        <v>0</v>
      </c>
      <c r="F85" s="62" t="s">
        <v>56</v>
      </c>
      <c r="G85" s="62" t="n">
        <f aca="false">MAX(F50:F79)</f>
        <v>27</v>
      </c>
      <c r="H85" s="62" t="s">
        <v>56</v>
      </c>
      <c r="I85" s="62" t="n">
        <f aca="false">MAX(H50:H79)</f>
        <v>25</v>
      </c>
      <c r="J85" s="62" t="s">
        <v>56</v>
      </c>
      <c r="K85" s="62" t="n">
        <f aca="false">MAX(J50:J79)</f>
        <v>37</v>
      </c>
      <c r="L85" s="62" t="s">
        <v>56</v>
      </c>
      <c r="M85" s="62" t="n">
        <f aca="false">MAX(L50:L79)</f>
        <v>0</v>
      </c>
      <c r="N85" s="62" t="s">
        <v>56</v>
      </c>
      <c r="O85" s="62" t="n">
        <f aca="false">MAX(N50:N79)</f>
        <v>22</v>
      </c>
      <c r="P85" s="62" t="s">
        <v>56</v>
      </c>
      <c r="Q85" s="67" t="n">
        <f aca="false">MAX(P50:P79)</f>
        <v>0</v>
      </c>
      <c r="R85" s="62" t="s">
        <v>56</v>
      </c>
      <c r="S85" s="68" t="n">
        <f aca="false">MAX(R50:R79)</f>
        <v>0</v>
      </c>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row>
    <row r="89" customFormat="false" ht="15" hidden="false" customHeight="true" outlineLevel="0" collapsed="false">
      <c r="A89" s="77" t="s">
        <v>64</v>
      </c>
      <c r="B89" s="77"/>
      <c r="C89" s="77"/>
      <c r="D89" s="77"/>
      <c r="E89" s="77"/>
      <c r="F89" s="77"/>
      <c r="G89" s="77"/>
      <c r="H89" s="77"/>
      <c r="I89" s="77"/>
      <c r="J89" s="77"/>
      <c r="K89" s="77"/>
      <c r="L89" s="77"/>
      <c r="M89" s="77"/>
      <c r="N89" s="77"/>
      <c r="O89" s="77"/>
      <c r="P89" s="77"/>
      <c r="Q89" s="77"/>
      <c r="R89" s="77"/>
      <c r="S89" s="77"/>
    </row>
    <row r="90" customFormat="false" ht="15" hidden="false" customHeight="true" outlineLevel="0" collapsed="false">
      <c r="A90" s="77"/>
      <c r="B90" s="77"/>
      <c r="C90" s="77"/>
      <c r="D90" s="77"/>
      <c r="E90" s="77"/>
      <c r="F90" s="77"/>
      <c r="G90" s="77"/>
      <c r="H90" s="77"/>
      <c r="I90" s="77"/>
      <c r="J90" s="77"/>
      <c r="K90" s="77"/>
      <c r="L90" s="77"/>
      <c r="M90" s="77"/>
      <c r="N90" s="77"/>
      <c r="O90" s="77"/>
      <c r="P90" s="77"/>
      <c r="Q90" s="77"/>
      <c r="R90" s="77"/>
      <c r="S90" s="77"/>
    </row>
    <row r="91" customFormat="false" ht="15" hidden="false" customHeight="true" outlineLevel="0" collapsed="false">
      <c r="A91" s="48" t="s">
        <v>49</v>
      </c>
      <c r="B91" s="49" t="s">
        <v>50</v>
      </c>
      <c r="C91" s="49"/>
      <c r="D91" s="49" t="s">
        <v>50</v>
      </c>
      <c r="E91" s="49"/>
      <c r="F91" s="49" t="s">
        <v>50</v>
      </c>
      <c r="G91" s="49"/>
      <c r="H91" s="49" t="s">
        <v>50</v>
      </c>
      <c r="I91" s="49"/>
      <c r="J91" s="49" t="s">
        <v>50</v>
      </c>
      <c r="K91" s="49"/>
      <c r="L91" s="49" t="s">
        <v>50</v>
      </c>
      <c r="M91" s="49"/>
      <c r="N91" s="49" t="s">
        <v>50</v>
      </c>
      <c r="O91" s="49"/>
      <c r="P91" s="50" t="s">
        <v>50</v>
      </c>
      <c r="Q91" s="50"/>
      <c r="R91" s="51" t="s">
        <v>50</v>
      </c>
      <c r="S91" s="51"/>
    </row>
    <row r="92" customFormat="false" ht="17.35" hidden="false" customHeight="false" outlineLevel="0" collapsed="false">
      <c r="A92" s="48"/>
      <c r="B92" s="52" t="str">
        <f aca="false">TABELA!K10</f>
        <v>NIKOLA TREBJEŠANIN</v>
      </c>
      <c r="C92" s="52"/>
      <c r="D92" s="52" t="str">
        <f aca="false">TABELA!K11</f>
        <v>NIKOLA POPOVIĆ</v>
      </c>
      <c r="E92" s="52"/>
      <c r="F92" s="52" t="str">
        <f aca="false">TABELA!K12</f>
        <v>MARKO BAKIĆ</v>
      </c>
      <c r="G92" s="52"/>
      <c r="H92" s="52" t="str">
        <f aca="false">TABELA!K13</f>
        <v>BOGDAN GOVEDARICA</v>
      </c>
      <c r="I92" s="52"/>
      <c r="J92" s="52" t="str">
        <f aca="false">TABELA!K14</f>
        <v>GORAN OBRENOVIĆ</v>
      </c>
      <c r="K92" s="52"/>
      <c r="L92" s="52" t="str">
        <f aca="false">TABELA!K15</f>
        <v>MILAN FUŠTIĆ</v>
      </c>
      <c r="M92" s="52"/>
      <c r="N92" s="52" t="str">
        <f aca="false">TABELA!K16</f>
        <v>BOŠKO VULEVIĆ</v>
      </c>
      <c r="O92" s="52"/>
      <c r="P92" s="53" t="str">
        <f aca="false">TABELA!K17</f>
        <v>MUMIN HEKALO</v>
      </c>
      <c r="Q92" s="53"/>
      <c r="R92" s="54" t="str">
        <f aca="false">TABELA!K18</f>
        <v>OMAR BAŠIĆ</v>
      </c>
      <c r="S92" s="54"/>
    </row>
    <row r="93" customFormat="false" ht="15" hidden="false" customHeight="false" outlineLevel="0" collapsed="false">
      <c r="A93" s="48"/>
      <c r="B93" s="49" t="s">
        <v>51</v>
      </c>
      <c r="C93" s="49" t="s">
        <v>52</v>
      </c>
      <c r="D93" s="49" t="s">
        <v>51</v>
      </c>
      <c r="E93" s="49" t="s">
        <v>52</v>
      </c>
      <c r="F93" s="49" t="s">
        <v>51</v>
      </c>
      <c r="G93" s="49" t="s">
        <v>52</v>
      </c>
      <c r="H93" s="49" t="s">
        <v>51</v>
      </c>
      <c r="I93" s="49" t="s">
        <v>52</v>
      </c>
      <c r="J93" s="49" t="s">
        <v>51</v>
      </c>
      <c r="K93" s="49" t="s">
        <v>52</v>
      </c>
      <c r="L93" s="49" t="s">
        <v>51</v>
      </c>
      <c r="M93" s="49" t="s">
        <v>52</v>
      </c>
      <c r="N93" s="49" t="s">
        <v>51</v>
      </c>
      <c r="O93" s="49" t="s">
        <v>52</v>
      </c>
      <c r="P93" s="49" t="s">
        <v>51</v>
      </c>
      <c r="Q93" s="50" t="s">
        <v>52</v>
      </c>
      <c r="R93" s="49" t="s">
        <v>51</v>
      </c>
      <c r="S93" s="51" t="s">
        <v>52</v>
      </c>
    </row>
    <row r="94" customFormat="false" ht="15" hidden="false" customHeight="false" outlineLevel="0" collapsed="false">
      <c r="A94" s="55" t="n">
        <v>1</v>
      </c>
      <c r="B94" s="49" t="n">
        <v>31</v>
      </c>
      <c r="C94" s="49" t="n">
        <f aca="false">IF(B94,B94*20+100,0)</f>
        <v>720</v>
      </c>
      <c r="D94" s="49"/>
      <c r="E94" s="49" t="n">
        <f aca="false">IF(D94,D94*20+100,0)</f>
        <v>0</v>
      </c>
      <c r="F94" s="49"/>
      <c r="G94" s="49" t="n">
        <f aca="false">IF(F94,F94*20+100,0)</f>
        <v>0</v>
      </c>
      <c r="H94" s="49" t="n">
        <v>28</v>
      </c>
      <c r="I94" s="49" t="n">
        <f aca="false">IF(H94,H94*20+100,0)</f>
        <v>660</v>
      </c>
      <c r="J94" s="49"/>
      <c r="K94" s="49" t="n">
        <f aca="false">IF(J94,J94*20+100,0)</f>
        <v>0</v>
      </c>
      <c r="L94" s="49" t="n">
        <v>28</v>
      </c>
      <c r="M94" s="49" t="n">
        <f aca="false">IF(L94,L94*20+100,0)</f>
        <v>660</v>
      </c>
      <c r="N94" s="49"/>
      <c r="O94" s="49" t="n">
        <f aca="false">IF(N94,N94*20+100,0)</f>
        <v>0</v>
      </c>
      <c r="P94" s="49" t="n">
        <v>27</v>
      </c>
      <c r="Q94" s="50" t="n">
        <f aca="false">IF(P94,P94*20+100,0)</f>
        <v>640</v>
      </c>
      <c r="R94" s="49"/>
      <c r="S94" s="51" t="n">
        <f aca="false">IF(R94,R94*20+100,0)</f>
        <v>0</v>
      </c>
    </row>
    <row r="95" customFormat="false" ht="15" hidden="false" customHeight="false" outlineLevel="0" collapsed="false">
      <c r="A95" s="55" t="n">
        <v>2</v>
      </c>
      <c r="B95" s="49" t="n">
        <v>28</v>
      </c>
      <c r="C95" s="49" t="n">
        <f aca="false">IF(B95,B95*20+100,0)</f>
        <v>660</v>
      </c>
      <c r="D95" s="49"/>
      <c r="E95" s="49" t="n">
        <f aca="false">IF(D95,D95*20+100,0)</f>
        <v>0</v>
      </c>
      <c r="F95" s="49"/>
      <c r="G95" s="49" t="n">
        <f aca="false">IF(F95,F95*20+100,0)</f>
        <v>0</v>
      </c>
      <c r="H95" s="49" t="n">
        <v>27</v>
      </c>
      <c r="I95" s="49" t="n">
        <f aca="false">IF(H95,H95*20+100,0)</f>
        <v>640</v>
      </c>
      <c r="J95" s="49"/>
      <c r="K95" s="49" t="n">
        <f aca="false">IF(J95,J95*20+100,0)</f>
        <v>0</v>
      </c>
      <c r="L95" s="49"/>
      <c r="M95" s="49" t="n">
        <f aca="false">IF(L95,L95*20+100,0)</f>
        <v>0</v>
      </c>
      <c r="N95" s="49"/>
      <c r="O95" s="49" t="n">
        <f aca="false">IF(N95,N95*20+100,0)</f>
        <v>0</v>
      </c>
      <c r="P95" s="49"/>
      <c r="Q95" s="50" t="n">
        <f aca="false">IF(P95,P95*20+100,0)</f>
        <v>0</v>
      </c>
      <c r="R95" s="49"/>
      <c r="S95" s="51" t="n">
        <f aca="false">IF(R95,R95*20+100,0)</f>
        <v>0</v>
      </c>
    </row>
    <row r="96" customFormat="false" ht="15" hidden="false" customHeight="false" outlineLevel="0" collapsed="false">
      <c r="A96" s="55" t="n">
        <v>3</v>
      </c>
      <c r="B96" s="49"/>
      <c r="C96" s="49" t="n">
        <f aca="false">IF(B96,B96*20+100,0)</f>
        <v>0</v>
      </c>
      <c r="D96" s="49"/>
      <c r="E96" s="49" t="n">
        <f aca="false">IF(D96,D96*20+100,0)</f>
        <v>0</v>
      </c>
      <c r="F96" s="49"/>
      <c r="G96" s="49" t="n">
        <f aca="false">IF(F96,F96*20+100,0)</f>
        <v>0</v>
      </c>
      <c r="H96" s="49"/>
      <c r="I96" s="49" t="n">
        <f aca="false">IF(H96,H96*20+100,0)</f>
        <v>0</v>
      </c>
      <c r="J96" s="49"/>
      <c r="K96" s="49" t="n">
        <f aca="false">IF(J96,J96*20+100,0)</f>
        <v>0</v>
      </c>
      <c r="L96" s="49"/>
      <c r="M96" s="49" t="n">
        <f aca="false">IF(L96,L96*20+100,0)</f>
        <v>0</v>
      </c>
      <c r="N96" s="49"/>
      <c r="O96" s="49" t="n">
        <f aca="false">IF(N96,N96*20+100,0)</f>
        <v>0</v>
      </c>
      <c r="P96" s="49"/>
      <c r="Q96" s="50" t="n">
        <f aca="false">IF(P96,P96*20+100,0)</f>
        <v>0</v>
      </c>
      <c r="R96" s="49"/>
      <c r="S96" s="51" t="n">
        <f aca="false">IF(R96,R96*20+100,0)</f>
        <v>0</v>
      </c>
    </row>
    <row r="97" customFormat="false" ht="15" hidden="false" customHeight="false" outlineLevel="0" collapsed="false">
      <c r="A97" s="55" t="n">
        <v>4</v>
      </c>
      <c r="B97" s="49"/>
      <c r="C97" s="49" t="n">
        <f aca="false">IF(B97,B97*20+100,0)</f>
        <v>0</v>
      </c>
      <c r="D97" s="49"/>
      <c r="E97" s="49" t="n">
        <f aca="false">IF(D97,D97*20+100,0)</f>
        <v>0</v>
      </c>
      <c r="F97" s="49"/>
      <c r="G97" s="49" t="n">
        <f aca="false">IF(F97,F97*20+100,0)</f>
        <v>0</v>
      </c>
      <c r="H97" s="49"/>
      <c r="I97" s="49" t="n">
        <f aca="false">IF(H97,H97*20+100,0)</f>
        <v>0</v>
      </c>
      <c r="J97" s="49"/>
      <c r="K97" s="49" t="n">
        <f aca="false">IF(J97,J97*20+100,0)</f>
        <v>0</v>
      </c>
      <c r="L97" s="49"/>
      <c r="M97" s="49" t="n">
        <f aca="false">IF(L97,L97*20+100,0)</f>
        <v>0</v>
      </c>
      <c r="N97" s="49"/>
      <c r="O97" s="49" t="n">
        <f aca="false">IF(N97,N97*20+100,0)</f>
        <v>0</v>
      </c>
      <c r="P97" s="49"/>
      <c r="Q97" s="50" t="n">
        <f aca="false">IF(P97,P97*20+100,0)</f>
        <v>0</v>
      </c>
      <c r="R97" s="49"/>
      <c r="S97" s="51" t="n">
        <f aca="false">IF(R97,R97*20+100,0)</f>
        <v>0</v>
      </c>
    </row>
    <row r="98" customFormat="false" ht="15" hidden="false" customHeight="false" outlineLevel="0" collapsed="false">
      <c r="A98" s="55" t="n">
        <v>5</v>
      </c>
      <c r="B98" s="49"/>
      <c r="C98" s="49" t="n">
        <f aca="false">IF(B98,B98*20+100,0)</f>
        <v>0</v>
      </c>
      <c r="D98" s="49"/>
      <c r="E98" s="49" t="n">
        <f aca="false">IF(D98,D98*20+100,0)</f>
        <v>0</v>
      </c>
      <c r="F98" s="49"/>
      <c r="G98" s="49" t="n">
        <f aca="false">IF(F98,F98*20+100,0)</f>
        <v>0</v>
      </c>
      <c r="H98" s="49"/>
      <c r="I98" s="49" t="n">
        <f aca="false">IF(H98,H98*20+100,0)</f>
        <v>0</v>
      </c>
      <c r="J98" s="49"/>
      <c r="K98" s="49" t="n">
        <f aca="false">IF(J98,J98*20+100,0)</f>
        <v>0</v>
      </c>
      <c r="L98" s="49"/>
      <c r="M98" s="49" t="n">
        <f aca="false">IF(L98,L98*20+100,0)</f>
        <v>0</v>
      </c>
      <c r="N98" s="49"/>
      <c r="O98" s="49" t="n">
        <f aca="false">IF(N98,N98*20+100,0)</f>
        <v>0</v>
      </c>
      <c r="P98" s="49"/>
      <c r="Q98" s="50" t="n">
        <f aca="false">IF(P98,P98*20+100,0)</f>
        <v>0</v>
      </c>
      <c r="R98" s="49"/>
      <c r="S98" s="51" t="n">
        <f aca="false">IF(R98,R98*20+100,0)</f>
        <v>0</v>
      </c>
    </row>
    <row r="99" customFormat="false" ht="15" hidden="false" customHeight="false" outlineLevel="0" collapsed="false">
      <c r="A99" s="55" t="n">
        <v>6</v>
      </c>
      <c r="B99" s="49"/>
      <c r="C99" s="49" t="n">
        <f aca="false">IF(B99,B99*20+100,0)</f>
        <v>0</v>
      </c>
      <c r="D99" s="49"/>
      <c r="E99" s="49" t="n">
        <f aca="false">IF(D99,D99*20+100,0)</f>
        <v>0</v>
      </c>
      <c r="F99" s="49"/>
      <c r="G99" s="49" t="n">
        <f aca="false">IF(F99,F99*20+100,0)</f>
        <v>0</v>
      </c>
      <c r="H99" s="49"/>
      <c r="I99" s="49" t="n">
        <f aca="false">IF(H99,H99*20+100,0)</f>
        <v>0</v>
      </c>
      <c r="J99" s="49"/>
      <c r="K99" s="49" t="n">
        <f aca="false">IF(J99,J99*20+100,0)</f>
        <v>0</v>
      </c>
      <c r="L99" s="49"/>
      <c r="M99" s="49" t="n">
        <f aca="false">IF(L99,L99*20+100,0)</f>
        <v>0</v>
      </c>
      <c r="N99" s="49"/>
      <c r="O99" s="49" t="n">
        <f aca="false">IF(N99,N99*20+100,0)</f>
        <v>0</v>
      </c>
      <c r="P99" s="49"/>
      <c r="Q99" s="50" t="n">
        <f aca="false">IF(P99,P99*20+100,0)</f>
        <v>0</v>
      </c>
      <c r="R99" s="49"/>
      <c r="S99" s="51" t="n">
        <f aca="false">IF(R99,R99*20+100,0)</f>
        <v>0</v>
      </c>
    </row>
    <row r="100" customFormat="false" ht="15" hidden="false" customHeight="false" outlineLevel="0" collapsed="false">
      <c r="A100" s="55" t="n">
        <v>7</v>
      </c>
      <c r="B100" s="49"/>
      <c r="C100" s="49" t="n">
        <f aca="false">IF(B100,B100*20+100,0)</f>
        <v>0</v>
      </c>
      <c r="D100" s="49"/>
      <c r="E100" s="49" t="n">
        <f aca="false">IF(D100,D100*20+100,0)</f>
        <v>0</v>
      </c>
      <c r="F100" s="49"/>
      <c r="G100" s="49" t="n">
        <f aca="false">IF(F100,F100*20+100,0)</f>
        <v>0</v>
      </c>
      <c r="H100" s="49"/>
      <c r="I100" s="49" t="n">
        <f aca="false">IF(H100,H100*20+100,0)</f>
        <v>0</v>
      </c>
      <c r="J100" s="49"/>
      <c r="K100" s="49" t="n">
        <f aca="false">IF(J100,J100*20+100,0)</f>
        <v>0</v>
      </c>
      <c r="L100" s="49"/>
      <c r="M100" s="49" t="n">
        <f aca="false">IF(L100,L100*20+100,0)</f>
        <v>0</v>
      </c>
      <c r="N100" s="49"/>
      <c r="O100" s="49" t="n">
        <f aca="false">IF(N100,N100*20+100,0)</f>
        <v>0</v>
      </c>
      <c r="P100" s="49"/>
      <c r="Q100" s="50" t="n">
        <f aca="false">IF(P100,P100*20+100,0)</f>
        <v>0</v>
      </c>
      <c r="R100" s="49"/>
      <c r="S100" s="51" t="n">
        <f aca="false">IF(R100,R100*20+100,0)</f>
        <v>0</v>
      </c>
    </row>
    <row r="101" customFormat="false" ht="15" hidden="false" customHeight="false" outlineLevel="0" collapsed="false">
      <c r="A101" s="55" t="n">
        <v>8</v>
      </c>
      <c r="B101" s="49"/>
      <c r="C101" s="49" t="n">
        <f aca="false">IF(B101,B101*20+100,0)</f>
        <v>0</v>
      </c>
      <c r="D101" s="49"/>
      <c r="E101" s="49" t="n">
        <f aca="false">IF(D101,D101*20+100,0)</f>
        <v>0</v>
      </c>
      <c r="F101" s="49"/>
      <c r="G101" s="49" t="n">
        <f aca="false">IF(F101,F101*20+100,0)</f>
        <v>0</v>
      </c>
      <c r="H101" s="49"/>
      <c r="I101" s="49" t="n">
        <f aca="false">IF(H101,H101*20+100,0)</f>
        <v>0</v>
      </c>
      <c r="J101" s="49"/>
      <c r="K101" s="49" t="n">
        <f aca="false">IF(J101,J101*20+100,0)</f>
        <v>0</v>
      </c>
      <c r="L101" s="49"/>
      <c r="M101" s="49" t="n">
        <f aca="false">IF(L101,L101*20+100,0)</f>
        <v>0</v>
      </c>
      <c r="N101" s="49"/>
      <c r="O101" s="49" t="n">
        <f aca="false">IF(N101,N101*20+100,0)</f>
        <v>0</v>
      </c>
      <c r="P101" s="49"/>
      <c r="Q101" s="50" t="n">
        <f aca="false">IF(P101,P101*20+100,0)</f>
        <v>0</v>
      </c>
      <c r="R101" s="49"/>
      <c r="S101" s="51" t="n">
        <f aca="false">IF(R101,R101*20+100,0)</f>
        <v>0</v>
      </c>
    </row>
    <row r="102" customFormat="false" ht="15" hidden="false" customHeight="false" outlineLevel="0" collapsed="false">
      <c r="A102" s="55" t="n">
        <v>9</v>
      </c>
      <c r="B102" s="49"/>
      <c r="C102" s="49" t="n">
        <f aca="false">IF(B102,B102*20+100,0)</f>
        <v>0</v>
      </c>
      <c r="D102" s="49"/>
      <c r="E102" s="49" t="n">
        <f aca="false">IF(D102,D102*20+100,0)</f>
        <v>0</v>
      </c>
      <c r="F102" s="49"/>
      <c r="G102" s="49" t="n">
        <f aca="false">IF(F102,F102*20+100,0)</f>
        <v>0</v>
      </c>
      <c r="H102" s="49"/>
      <c r="I102" s="49" t="n">
        <f aca="false">IF(H102,H102*20+100,0)</f>
        <v>0</v>
      </c>
      <c r="J102" s="49"/>
      <c r="K102" s="49" t="n">
        <f aca="false">IF(J102,J102*20+100,0)</f>
        <v>0</v>
      </c>
      <c r="L102" s="49"/>
      <c r="M102" s="49" t="n">
        <f aca="false">IF(L102,L102*20+100,0)</f>
        <v>0</v>
      </c>
      <c r="N102" s="49"/>
      <c r="O102" s="49" t="n">
        <f aca="false">IF(N102,N102*20+100,0)</f>
        <v>0</v>
      </c>
      <c r="P102" s="49"/>
      <c r="Q102" s="50" t="n">
        <f aca="false">IF(P102,P102*20+100,0)</f>
        <v>0</v>
      </c>
      <c r="R102" s="49"/>
      <c r="S102" s="51" t="n">
        <f aca="false">IF(R102,R102*20+100,0)</f>
        <v>0</v>
      </c>
    </row>
    <row r="103" customFormat="false" ht="15" hidden="false" customHeight="false" outlineLevel="0" collapsed="false">
      <c r="A103" s="55" t="n">
        <v>10</v>
      </c>
      <c r="B103" s="49"/>
      <c r="C103" s="49" t="n">
        <f aca="false">IF(B103,B103*20+100,0)</f>
        <v>0</v>
      </c>
      <c r="D103" s="49"/>
      <c r="E103" s="49" t="n">
        <f aca="false">IF(D103,D103*20+100,0)</f>
        <v>0</v>
      </c>
      <c r="F103" s="49"/>
      <c r="G103" s="49" t="n">
        <f aca="false">IF(F103,F103*20+100,0)</f>
        <v>0</v>
      </c>
      <c r="H103" s="49"/>
      <c r="I103" s="49" t="n">
        <f aca="false">IF(H103,H103*20+100,0)</f>
        <v>0</v>
      </c>
      <c r="J103" s="49"/>
      <c r="K103" s="49" t="n">
        <f aca="false">IF(J103,J103*20+100,0)</f>
        <v>0</v>
      </c>
      <c r="L103" s="49"/>
      <c r="M103" s="49" t="n">
        <f aca="false">IF(L103,L103*20+100,0)</f>
        <v>0</v>
      </c>
      <c r="N103" s="49"/>
      <c r="O103" s="49" t="n">
        <f aca="false">IF(N103,N103*20+100,0)</f>
        <v>0</v>
      </c>
      <c r="P103" s="49"/>
      <c r="Q103" s="50" t="n">
        <f aca="false">IF(P103,P103*20+100,0)</f>
        <v>0</v>
      </c>
      <c r="R103" s="49"/>
      <c r="S103" s="51" t="n">
        <f aca="false">IF(R103,R103*20+100,0)</f>
        <v>0</v>
      </c>
    </row>
    <row r="104" customFormat="false" ht="15" hidden="false" customHeight="false" outlineLevel="0" collapsed="false">
      <c r="A104" s="55" t="n">
        <v>11</v>
      </c>
      <c r="B104" s="49"/>
      <c r="C104" s="49" t="n">
        <f aca="false">IF(B104,B104*20+100,0)</f>
        <v>0</v>
      </c>
      <c r="D104" s="49"/>
      <c r="E104" s="49" t="n">
        <f aca="false">IF(D104,D104*20+100,0)</f>
        <v>0</v>
      </c>
      <c r="F104" s="49"/>
      <c r="G104" s="49" t="n">
        <f aca="false">IF(F104,F104*20+100,0)</f>
        <v>0</v>
      </c>
      <c r="H104" s="49"/>
      <c r="I104" s="49" t="n">
        <f aca="false">IF(H104,H104*20+100,0)</f>
        <v>0</v>
      </c>
      <c r="J104" s="49"/>
      <c r="K104" s="49" t="n">
        <f aca="false">IF(J104,J104*20+100,0)</f>
        <v>0</v>
      </c>
      <c r="L104" s="49"/>
      <c r="M104" s="49" t="n">
        <f aca="false">IF(L104,L104*20+100,0)</f>
        <v>0</v>
      </c>
      <c r="N104" s="49"/>
      <c r="O104" s="49" t="n">
        <f aca="false">IF(N104,N104*20+100,0)</f>
        <v>0</v>
      </c>
      <c r="P104" s="49"/>
      <c r="Q104" s="50" t="n">
        <f aca="false">IF(P104,P104*20+100,0)</f>
        <v>0</v>
      </c>
      <c r="R104" s="49"/>
      <c r="S104" s="51" t="n">
        <f aca="false">IF(R104,R104*20+100,0)</f>
        <v>0</v>
      </c>
    </row>
    <row r="105" customFormat="false" ht="15" hidden="false" customHeight="false" outlineLevel="0" collapsed="false">
      <c r="A105" s="55" t="n">
        <v>12</v>
      </c>
      <c r="B105" s="49"/>
      <c r="C105" s="49" t="n">
        <f aca="false">IF(B105,B105*20+100,0)</f>
        <v>0</v>
      </c>
      <c r="D105" s="49"/>
      <c r="E105" s="49" t="n">
        <f aca="false">IF(D105,D105*20+100,0)</f>
        <v>0</v>
      </c>
      <c r="F105" s="49"/>
      <c r="G105" s="49" t="n">
        <f aca="false">IF(F105,F105*20+100,0)</f>
        <v>0</v>
      </c>
      <c r="H105" s="49"/>
      <c r="I105" s="49" t="n">
        <f aca="false">IF(H105,H105*20+100,0)</f>
        <v>0</v>
      </c>
      <c r="J105" s="49"/>
      <c r="K105" s="49" t="n">
        <f aca="false">IF(J105,J105*20+100,0)</f>
        <v>0</v>
      </c>
      <c r="L105" s="49"/>
      <c r="M105" s="49" t="n">
        <f aca="false">IF(L105,L105*20+100,0)</f>
        <v>0</v>
      </c>
      <c r="N105" s="49"/>
      <c r="O105" s="49" t="n">
        <f aca="false">IF(N105,N105*20+100,0)</f>
        <v>0</v>
      </c>
      <c r="P105" s="49"/>
      <c r="Q105" s="50" t="n">
        <f aca="false">IF(P105,P105*20+100,0)</f>
        <v>0</v>
      </c>
      <c r="R105" s="49"/>
      <c r="S105" s="51" t="n">
        <f aca="false">IF(R105,R105*20+100,0)</f>
        <v>0</v>
      </c>
    </row>
    <row r="106" customFormat="false" ht="15" hidden="false" customHeight="false" outlineLevel="0" collapsed="false">
      <c r="A106" s="55" t="n">
        <v>13</v>
      </c>
      <c r="B106" s="49"/>
      <c r="C106" s="49" t="n">
        <f aca="false">IF(B106,B106*20+100,0)</f>
        <v>0</v>
      </c>
      <c r="D106" s="49"/>
      <c r="E106" s="49" t="n">
        <f aca="false">IF(D106,D106*20+100,0)</f>
        <v>0</v>
      </c>
      <c r="F106" s="49"/>
      <c r="G106" s="49" t="n">
        <f aca="false">IF(F106,F106*20+100,0)</f>
        <v>0</v>
      </c>
      <c r="H106" s="49"/>
      <c r="I106" s="49" t="n">
        <f aca="false">IF(H106,H106*20+100,0)</f>
        <v>0</v>
      </c>
      <c r="J106" s="49"/>
      <c r="K106" s="49" t="n">
        <f aca="false">IF(J106,J106*20+100,0)</f>
        <v>0</v>
      </c>
      <c r="L106" s="49"/>
      <c r="M106" s="49" t="n">
        <f aca="false">IF(L106,L106*20+100,0)</f>
        <v>0</v>
      </c>
      <c r="N106" s="49"/>
      <c r="O106" s="49" t="n">
        <f aca="false">IF(N106,N106*20+100,0)</f>
        <v>0</v>
      </c>
      <c r="P106" s="49"/>
      <c r="Q106" s="50" t="n">
        <f aca="false">IF(P106,P106*20+100,0)</f>
        <v>0</v>
      </c>
      <c r="R106" s="49"/>
      <c r="S106" s="51" t="n">
        <f aca="false">IF(R106,R106*20+100,0)</f>
        <v>0</v>
      </c>
    </row>
    <row r="107" customFormat="false" ht="15" hidden="false" customHeight="false" outlineLevel="0" collapsed="false">
      <c r="A107" s="55" t="n">
        <v>14</v>
      </c>
      <c r="B107" s="49"/>
      <c r="C107" s="49" t="n">
        <f aca="false">IF(B107,B107*20+100,0)</f>
        <v>0</v>
      </c>
      <c r="D107" s="49"/>
      <c r="E107" s="49" t="n">
        <f aca="false">IF(D107,D107*20+100,0)</f>
        <v>0</v>
      </c>
      <c r="F107" s="49"/>
      <c r="G107" s="49" t="n">
        <f aca="false">IF(F107,F107*20+100,0)</f>
        <v>0</v>
      </c>
      <c r="H107" s="49"/>
      <c r="I107" s="49" t="n">
        <f aca="false">IF(H107,H107*20+100,0)</f>
        <v>0</v>
      </c>
      <c r="J107" s="49"/>
      <c r="K107" s="49" t="n">
        <f aca="false">IF(J107,J107*20+100,0)</f>
        <v>0</v>
      </c>
      <c r="L107" s="49"/>
      <c r="M107" s="49" t="n">
        <f aca="false">IF(L107,L107*20+100,0)</f>
        <v>0</v>
      </c>
      <c r="N107" s="49"/>
      <c r="O107" s="49" t="n">
        <f aca="false">IF(N107,N107*20+100,0)</f>
        <v>0</v>
      </c>
      <c r="P107" s="49"/>
      <c r="Q107" s="50" t="n">
        <f aca="false">IF(P107,P107*20+100,0)</f>
        <v>0</v>
      </c>
      <c r="R107" s="49"/>
      <c r="S107" s="51" t="n">
        <f aca="false">IF(R107,R107*20+100,0)</f>
        <v>0</v>
      </c>
    </row>
    <row r="108" customFormat="false" ht="15" hidden="false" customHeight="false" outlineLevel="0" collapsed="false">
      <c r="A108" s="55" t="n">
        <v>15</v>
      </c>
      <c r="B108" s="49"/>
      <c r="C108" s="49" t="n">
        <f aca="false">IF(B108,B108*20+100,0)</f>
        <v>0</v>
      </c>
      <c r="D108" s="49"/>
      <c r="E108" s="49" t="n">
        <f aca="false">IF(D108,D108*20+100,0)</f>
        <v>0</v>
      </c>
      <c r="F108" s="49"/>
      <c r="G108" s="49" t="n">
        <f aca="false">IF(F108,F108*20+100,0)</f>
        <v>0</v>
      </c>
      <c r="H108" s="49"/>
      <c r="I108" s="49" t="n">
        <f aca="false">IF(H108,H108*20+100,0)</f>
        <v>0</v>
      </c>
      <c r="J108" s="49"/>
      <c r="K108" s="49" t="n">
        <f aca="false">IF(J108,J108*20+100,0)</f>
        <v>0</v>
      </c>
      <c r="L108" s="49"/>
      <c r="M108" s="49" t="n">
        <f aca="false">IF(L108,L108*20+100,0)</f>
        <v>0</v>
      </c>
      <c r="N108" s="49"/>
      <c r="O108" s="49" t="n">
        <f aca="false">IF(N108,N108*20+100,0)</f>
        <v>0</v>
      </c>
      <c r="P108" s="49"/>
      <c r="Q108" s="50" t="n">
        <f aca="false">IF(P108,P108*20+100,0)</f>
        <v>0</v>
      </c>
      <c r="R108" s="49"/>
      <c r="S108" s="51" t="n">
        <f aca="false">IF(R108,R108*20+100,0)</f>
        <v>0</v>
      </c>
    </row>
    <row r="109" customFormat="false" ht="15" hidden="false" customHeight="false" outlineLevel="0" collapsed="false">
      <c r="A109" s="55" t="n">
        <v>16</v>
      </c>
      <c r="B109" s="49"/>
      <c r="C109" s="49" t="n">
        <f aca="false">IF(B109,B109*20+100,0)</f>
        <v>0</v>
      </c>
      <c r="D109" s="49"/>
      <c r="E109" s="49" t="n">
        <f aca="false">IF(D109,D109*20+100,0)</f>
        <v>0</v>
      </c>
      <c r="F109" s="49"/>
      <c r="G109" s="49" t="n">
        <f aca="false">IF(F109,F109*20+100,0)</f>
        <v>0</v>
      </c>
      <c r="H109" s="49"/>
      <c r="I109" s="49" t="n">
        <f aca="false">IF(H109,H109*20+100,0)</f>
        <v>0</v>
      </c>
      <c r="J109" s="49"/>
      <c r="K109" s="49" t="n">
        <f aca="false">IF(J109,J109*20+100,0)</f>
        <v>0</v>
      </c>
      <c r="L109" s="49"/>
      <c r="M109" s="49" t="n">
        <f aca="false">IF(L109,L109*20+100,0)</f>
        <v>0</v>
      </c>
      <c r="N109" s="49"/>
      <c r="O109" s="49" t="n">
        <f aca="false">IF(N109,N109*20+100,0)</f>
        <v>0</v>
      </c>
      <c r="P109" s="49"/>
      <c r="Q109" s="50" t="n">
        <f aca="false">IF(P109,P109*20+100,0)</f>
        <v>0</v>
      </c>
      <c r="R109" s="49"/>
      <c r="S109" s="51" t="n">
        <f aca="false">IF(R109,R109*20+100,0)</f>
        <v>0</v>
      </c>
    </row>
    <row r="110" customFormat="false" ht="15" hidden="false" customHeight="false" outlineLevel="0" collapsed="false">
      <c r="A110" s="55" t="n">
        <v>17</v>
      </c>
      <c r="B110" s="49"/>
      <c r="C110" s="49" t="n">
        <f aca="false">IF(B110,B110*20+100,0)</f>
        <v>0</v>
      </c>
      <c r="D110" s="49"/>
      <c r="E110" s="49" t="n">
        <f aca="false">IF(D110,D110*20+100,0)</f>
        <v>0</v>
      </c>
      <c r="F110" s="49"/>
      <c r="G110" s="49" t="n">
        <f aca="false">IF(F110,F110*20+100,0)</f>
        <v>0</v>
      </c>
      <c r="H110" s="49"/>
      <c r="I110" s="49" t="n">
        <f aca="false">IF(H110,H110*20+100,0)</f>
        <v>0</v>
      </c>
      <c r="J110" s="49"/>
      <c r="K110" s="49" t="n">
        <f aca="false">IF(J110,J110*20+100,0)</f>
        <v>0</v>
      </c>
      <c r="L110" s="49"/>
      <c r="M110" s="49" t="n">
        <f aca="false">IF(L110,L110*20+100,0)</f>
        <v>0</v>
      </c>
      <c r="N110" s="49"/>
      <c r="O110" s="49" t="n">
        <f aca="false">IF(N110,N110*20+100,0)</f>
        <v>0</v>
      </c>
      <c r="P110" s="49"/>
      <c r="Q110" s="50" t="n">
        <f aca="false">IF(P110,P110*20+100,0)</f>
        <v>0</v>
      </c>
      <c r="R110" s="49"/>
      <c r="S110" s="51" t="n">
        <f aca="false">IF(R110,R110*20+100,0)</f>
        <v>0</v>
      </c>
    </row>
    <row r="111" customFormat="false" ht="15" hidden="false" customHeight="false" outlineLevel="0" collapsed="false">
      <c r="A111" s="55" t="n">
        <v>18</v>
      </c>
      <c r="B111" s="49"/>
      <c r="C111" s="49" t="n">
        <f aca="false">IF(B111,B111*20+100,0)</f>
        <v>0</v>
      </c>
      <c r="D111" s="49"/>
      <c r="E111" s="49" t="n">
        <f aca="false">IF(D111,D111*20+100,0)</f>
        <v>0</v>
      </c>
      <c r="F111" s="49"/>
      <c r="G111" s="49" t="n">
        <f aca="false">IF(F111,F111*20+100,0)</f>
        <v>0</v>
      </c>
      <c r="H111" s="49"/>
      <c r="I111" s="49" t="n">
        <f aca="false">IF(H111,H111*20+100,0)</f>
        <v>0</v>
      </c>
      <c r="J111" s="49"/>
      <c r="K111" s="49" t="n">
        <f aca="false">IF(J111,J111*20+100,0)</f>
        <v>0</v>
      </c>
      <c r="L111" s="49"/>
      <c r="M111" s="49" t="n">
        <f aca="false">IF(L111,L111*20+100,0)</f>
        <v>0</v>
      </c>
      <c r="N111" s="49"/>
      <c r="O111" s="49" t="n">
        <f aca="false">IF(N111,N111*20+100,0)</f>
        <v>0</v>
      </c>
      <c r="P111" s="49"/>
      <c r="Q111" s="50" t="n">
        <f aca="false">IF(P111,P111*20+100,0)</f>
        <v>0</v>
      </c>
      <c r="R111" s="49"/>
      <c r="S111" s="51" t="n">
        <f aca="false">IF(R111,R111*20+100,0)</f>
        <v>0</v>
      </c>
    </row>
    <row r="112" customFormat="false" ht="15" hidden="false" customHeight="false" outlineLevel="0" collapsed="false">
      <c r="A112" s="55" t="n">
        <v>19</v>
      </c>
      <c r="B112" s="49"/>
      <c r="C112" s="49" t="n">
        <f aca="false">IF(B112,B112*20+100,0)</f>
        <v>0</v>
      </c>
      <c r="D112" s="49"/>
      <c r="E112" s="49" t="n">
        <f aca="false">IF(D112,D112*20+100,0)</f>
        <v>0</v>
      </c>
      <c r="F112" s="49"/>
      <c r="G112" s="49" t="n">
        <f aca="false">IF(F112,F112*20+100,0)</f>
        <v>0</v>
      </c>
      <c r="H112" s="49"/>
      <c r="I112" s="49" t="n">
        <f aca="false">IF(H112,H112*20+100,0)</f>
        <v>0</v>
      </c>
      <c r="J112" s="49"/>
      <c r="K112" s="49" t="n">
        <f aca="false">IF(J112,J112*20+100,0)</f>
        <v>0</v>
      </c>
      <c r="L112" s="49"/>
      <c r="M112" s="49" t="n">
        <f aca="false">IF(L112,L112*20+100,0)</f>
        <v>0</v>
      </c>
      <c r="N112" s="49"/>
      <c r="O112" s="49" t="n">
        <f aca="false">IF(N112,N112*20+100,0)</f>
        <v>0</v>
      </c>
      <c r="P112" s="49"/>
      <c r="Q112" s="50" t="n">
        <f aca="false">IF(P112,P112*20+100,0)</f>
        <v>0</v>
      </c>
      <c r="R112" s="49"/>
      <c r="S112" s="51" t="n">
        <f aca="false">IF(R112,R112*20+100,0)</f>
        <v>0</v>
      </c>
    </row>
    <row r="113" customFormat="false" ht="15" hidden="false" customHeight="false" outlineLevel="0" collapsed="false">
      <c r="A113" s="55" t="n">
        <v>20</v>
      </c>
      <c r="B113" s="49"/>
      <c r="C113" s="49" t="n">
        <f aca="false">IF(B113,B113*20+100,0)</f>
        <v>0</v>
      </c>
      <c r="D113" s="49"/>
      <c r="E113" s="49" t="n">
        <f aca="false">IF(D113,D113*20+100,0)</f>
        <v>0</v>
      </c>
      <c r="F113" s="49"/>
      <c r="G113" s="49" t="n">
        <f aca="false">IF(F113,F113*20+100,0)</f>
        <v>0</v>
      </c>
      <c r="H113" s="49"/>
      <c r="I113" s="49" t="n">
        <f aca="false">IF(H113,H113*20+100,0)</f>
        <v>0</v>
      </c>
      <c r="J113" s="49"/>
      <c r="K113" s="49" t="n">
        <f aca="false">IF(J113,J113*20+100,0)</f>
        <v>0</v>
      </c>
      <c r="L113" s="49"/>
      <c r="M113" s="49" t="n">
        <f aca="false">IF(L113,L113*20+100,0)</f>
        <v>0</v>
      </c>
      <c r="N113" s="49"/>
      <c r="O113" s="49" t="n">
        <f aca="false">IF(N113,N113*20+100,0)</f>
        <v>0</v>
      </c>
      <c r="P113" s="49"/>
      <c r="Q113" s="50" t="n">
        <f aca="false">IF(P113,P113*20+100,0)</f>
        <v>0</v>
      </c>
      <c r="R113" s="49"/>
      <c r="S113" s="51" t="n">
        <f aca="false">IF(R113,R113*20+100,0)</f>
        <v>0</v>
      </c>
    </row>
    <row r="114" customFormat="false" ht="15" hidden="false" customHeight="false" outlineLevel="0" collapsed="false">
      <c r="A114" s="55" t="n">
        <v>21</v>
      </c>
      <c r="B114" s="49"/>
      <c r="C114" s="49" t="n">
        <f aca="false">IF(B114,B114*20+100,0)</f>
        <v>0</v>
      </c>
      <c r="D114" s="49"/>
      <c r="E114" s="49" t="n">
        <f aca="false">IF(D114,D114*20+100,0)</f>
        <v>0</v>
      </c>
      <c r="F114" s="49"/>
      <c r="G114" s="49" t="n">
        <f aca="false">IF(F114,F114*20+100,0)</f>
        <v>0</v>
      </c>
      <c r="H114" s="49"/>
      <c r="I114" s="49" t="n">
        <f aca="false">IF(H114,H114*20+100,0)</f>
        <v>0</v>
      </c>
      <c r="J114" s="49"/>
      <c r="K114" s="49" t="n">
        <f aca="false">IF(J114,J114*20+100,0)</f>
        <v>0</v>
      </c>
      <c r="L114" s="49"/>
      <c r="M114" s="49" t="n">
        <f aca="false">IF(L114,L114*20+100,0)</f>
        <v>0</v>
      </c>
      <c r="N114" s="49"/>
      <c r="O114" s="49" t="n">
        <f aca="false">IF(N114,N114*20+100,0)</f>
        <v>0</v>
      </c>
      <c r="P114" s="49"/>
      <c r="Q114" s="50" t="n">
        <f aca="false">IF(P114,P114*20+100,0)</f>
        <v>0</v>
      </c>
      <c r="R114" s="49"/>
      <c r="S114" s="51" t="n">
        <f aca="false">IF(R114,R114*20+100,0)</f>
        <v>0</v>
      </c>
    </row>
    <row r="115" customFormat="false" ht="15" hidden="false" customHeight="false" outlineLevel="0" collapsed="false">
      <c r="A115" s="55" t="n">
        <v>22</v>
      </c>
      <c r="B115" s="49"/>
      <c r="C115" s="49" t="n">
        <f aca="false">IF(B115,B115*20+100,0)</f>
        <v>0</v>
      </c>
      <c r="D115" s="49"/>
      <c r="E115" s="49" t="n">
        <f aca="false">IF(D115,D115*20+100,0)</f>
        <v>0</v>
      </c>
      <c r="F115" s="49"/>
      <c r="G115" s="49" t="n">
        <f aca="false">IF(F115,F115*20+100,0)</f>
        <v>0</v>
      </c>
      <c r="H115" s="49"/>
      <c r="I115" s="49" t="n">
        <f aca="false">IF(H115,H115*20+100,0)</f>
        <v>0</v>
      </c>
      <c r="J115" s="49"/>
      <c r="K115" s="49" t="n">
        <f aca="false">IF(J115,J115*20+100,0)</f>
        <v>0</v>
      </c>
      <c r="L115" s="49"/>
      <c r="M115" s="49" t="n">
        <f aca="false">IF(L115,L115*20+100,0)</f>
        <v>0</v>
      </c>
      <c r="N115" s="49"/>
      <c r="O115" s="49" t="n">
        <f aca="false">IF(N115,N115*20+100,0)</f>
        <v>0</v>
      </c>
      <c r="P115" s="49"/>
      <c r="Q115" s="50" t="n">
        <f aca="false">IF(P115,P115*20+100,0)</f>
        <v>0</v>
      </c>
      <c r="R115" s="49"/>
      <c r="S115" s="51" t="n">
        <f aca="false">IF(R115,R115*20+100,0)</f>
        <v>0</v>
      </c>
    </row>
    <row r="116" customFormat="false" ht="15" hidden="false" customHeight="false" outlineLevel="0" collapsed="false">
      <c r="A116" s="55" t="n">
        <v>23</v>
      </c>
      <c r="B116" s="49"/>
      <c r="C116" s="49" t="n">
        <f aca="false">IF(B116,B116*20+100,0)</f>
        <v>0</v>
      </c>
      <c r="D116" s="49"/>
      <c r="E116" s="49" t="n">
        <f aca="false">IF(D116,D116*20+100,0)</f>
        <v>0</v>
      </c>
      <c r="F116" s="49"/>
      <c r="G116" s="49" t="n">
        <f aca="false">IF(F116,F116*20+100,0)</f>
        <v>0</v>
      </c>
      <c r="H116" s="49"/>
      <c r="I116" s="49" t="n">
        <f aca="false">IF(H116,H116*20+100,0)</f>
        <v>0</v>
      </c>
      <c r="J116" s="49"/>
      <c r="K116" s="49" t="n">
        <f aca="false">IF(J116,J116*20+100,0)</f>
        <v>0</v>
      </c>
      <c r="L116" s="49"/>
      <c r="M116" s="49" t="n">
        <f aca="false">IF(L116,L116*20+100,0)</f>
        <v>0</v>
      </c>
      <c r="N116" s="49"/>
      <c r="O116" s="49" t="n">
        <f aca="false">IF(N116,N116*20+100,0)</f>
        <v>0</v>
      </c>
      <c r="P116" s="49"/>
      <c r="Q116" s="50" t="n">
        <f aca="false">IF(P116,P116*20+100,0)</f>
        <v>0</v>
      </c>
      <c r="R116" s="49"/>
      <c r="S116" s="51" t="n">
        <f aca="false">IF(R116,R116*20+100,0)</f>
        <v>0</v>
      </c>
    </row>
    <row r="117" customFormat="false" ht="15" hidden="false" customHeight="false" outlineLevel="0" collapsed="false">
      <c r="A117" s="55" t="n">
        <v>24</v>
      </c>
      <c r="B117" s="49"/>
      <c r="C117" s="49" t="n">
        <f aca="false">IF(B117,B117*20+100,0)</f>
        <v>0</v>
      </c>
      <c r="D117" s="49"/>
      <c r="E117" s="49" t="n">
        <f aca="false">IF(D117,D117*20+100,0)</f>
        <v>0</v>
      </c>
      <c r="F117" s="49"/>
      <c r="G117" s="49" t="n">
        <f aca="false">IF(F117,F117*20+100,0)</f>
        <v>0</v>
      </c>
      <c r="H117" s="49"/>
      <c r="I117" s="49" t="n">
        <f aca="false">IF(H117,H117*20+100,0)</f>
        <v>0</v>
      </c>
      <c r="J117" s="49"/>
      <c r="K117" s="49" t="n">
        <f aca="false">IF(J117,J117*20+100,0)</f>
        <v>0</v>
      </c>
      <c r="L117" s="49"/>
      <c r="M117" s="49" t="n">
        <f aca="false">IF(L117,L117*20+100,0)</f>
        <v>0</v>
      </c>
      <c r="N117" s="49"/>
      <c r="O117" s="49" t="n">
        <f aca="false">IF(N117,N117*20+100,0)</f>
        <v>0</v>
      </c>
      <c r="P117" s="49"/>
      <c r="Q117" s="50" t="n">
        <f aca="false">IF(P117,P117*20+100,0)</f>
        <v>0</v>
      </c>
      <c r="R117" s="49"/>
      <c r="S117" s="51" t="n">
        <f aca="false">IF(R117,R117*20+100,0)</f>
        <v>0</v>
      </c>
    </row>
    <row r="118" customFormat="false" ht="15" hidden="false" customHeight="false" outlineLevel="0" collapsed="false">
      <c r="A118" s="55" t="n">
        <v>25</v>
      </c>
      <c r="B118" s="49"/>
      <c r="C118" s="49" t="n">
        <f aca="false">IF(B118,B118*20+100,0)</f>
        <v>0</v>
      </c>
      <c r="D118" s="49"/>
      <c r="E118" s="49" t="n">
        <f aca="false">IF(D118,D118*20+100,0)</f>
        <v>0</v>
      </c>
      <c r="F118" s="49"/>
      <c r="G118" s="49" t="n">
        <f aca="false">IF(F118,F118*20+100,0)</f>
        <v>0</v>
      </c>
      <c r="H118" s="49"/>
      <c r="I118" s="49" t="n">
        <f aca="false">IF(H118,H118*20+100,0)</f>
        <v>0</v>
      </c>
      <c r="J118" s="49"/>
      <c r="K118" s="49" t="n">
        <f aca="false">IF(J118,J118*20+100,0)</f>
        <v>0</v>
      </c>
      <c r="L118" s="49"/>
      <c r="M118" s="49" t="n">
        <f aca="false">IF(L118,L118*20+100,0)</f>
        <v>0</v>
      </c>
      <c r="N118" s="49"/>
      <c r="O118" s="49" t="n">
        <f aca="false">IF(N118,N118*20+100,0)</f>
        <v>0</v>
      </c>
      <c r="P118" s="49"/>
      <c r="Q118" s="50" t="n">
        <f aca="false">IF(P118,P118*20+100,0)</f>
        <v>0</v>
      </c>
      <c r="R118" s="49"/>
      <c r="S118" s="51" t="n">
        <f aca="false">IF(R118,R118*20+100,0)</f>
        <v>0</v>
      </c>
    </row>
    <row r="119" customFormat="false" ht="15" hidden="false" customHeight="false" outlineLevel="0" collapsed="false">
      <c r="A119" s="55" t="n">
        <v>26</v>
      </c>
      <c r="B119" s="49"/>
      <c r="C119" s="49" t="n">
        <f aca="false">IF(B119,B119*20+100,0)</f>
        <v>0</v>
      </c>
      <c r="D119" s="49"/>
      <c r="E119" s="49" t="n">
        <f aca="false">IF(D119,D119*20+100,0)</f>
        <v>0</v>
      </c>
      <c r="F119" s="49"/>
      <c r="G119" s="49" t="n">
        <f aca="false">IF(F119,F119*20+100,0)</f>
        <v>0</v>
      </c>
      <c r="H119" s="49"/>
      <c r="I119" s="49" t="n">
        <f aca="false">IF(H119,H119*20+100,0)</f>
        <v>0</v>
      </c>
      <c r="J119" s="49"/>
      <c r="K119" s="49" t="n">
        <f aca="false">IF(J119,J119*20+100,0)</f>
        <v>0</v>
      </c>
      <c r="L119" s="49"/>
      <c r="M119" s="49" t="n">
        <f aca="false">IF(L119,L119*20+100,0)</f>
        <v>0</v>
      </c>
      <c r="N119" s="49"/>
      <c r="O119" s="49" t="n">
        <f aca="false">IF(N119,N119*20+100,0)</f>
        <v>0</v>
      </c>
      <c r="P119" s="49"/>
      <c r="Q119" s="50" t="n">
        <f aca="false">IF(P119,P119*20+100,0)</f>
        <v>0</v>
      </c>
      <c r="R119" s="49"/>
      <c r="S119" s="51" t="n">
        <f aca="false">IF(R119,R119*20+100,0)</f>
        <v>0</v>
      </c>
    </row>
    <row r="120" customFormat="false" ht="15" hidden="false" customHeight="false" outlineLevel="0" collapsed="false">
      <c r="A120" s="55" t="n">
        <v>27</v>
      </c>
      <c r="B120" s="49"/>
      <c r="C120" s="49" t="n">
        <f aca="false">IF(B120,B120*20+100,0)</f>
        <v>0</v>
      </c>
      <c r="D120" s="49"/>
      <c r="E120" s="49" t="n">
        <f aca="false">IF(D120,D120*20+100,0)</f>
        <v>0</v>
      </c>
      <c r="F120" s="49"/>
      <c r="G120" s="49" t="n">
        <f aca="false">IF(F120,F120*20+100,0)</f>
        <v>0</v>
      </c>
      <c r="H120" s="49"/>
      <c r="I120" s="49" t="n">
        <f aca="false">IF(H120,H120*20+100,0)</f>
        <v>0</v>
      </c>
      <c r="J120" s="49"/>
      <c r="K120" s="49" t="n">
        <f aca="false">IF(J120,J120*20+100,0)</f>
        <v>0</v>
      </c>
      <c r="L120" s="49"/>
      <c r="M120" s="49" t="n">
        <f aca="false">IF(L120,L120*20+100,0)</f>
        <v>0</v>
      </c>
      <c r="N120" s="49"/>
      <c r="O120" s="49" t="n">
        <f aca="false">IF(N120,N120*20+100,0)</f>
        <v>0</v>
      </c>
      <c r="P120" s="49"/>
      <c r="Q120" s="50" t="n">
        <f aca="false">IF(P120,P120*20+100,0)</f>
        <v>0</v>
      </c>
      <c r="R120" s="49"/>
      <c r="S120" s="51" t="n">
        <f aca="false">IF(R120,R120*20+100,0)</f>
        <v>0</v>
      </c>
    </row>
    <row r="121" customFormat="false" ht="15" hidden="false" customHeight="false" outlineLevel="0" collapsed="false">
      <c r="A121" s="55" t="n">
        <v>28</v>
      </c>
      <c r="B121" s="49"/>
      <c r="C121" s="49" t="n">
        <f aca="false">IF(B121,B121*20+100,0)</f>
        <v>0</v>
      </c>
      <c r="D121" s="49"/>
      <c r="E121" s="49" t="n">
        <f aca="false">IF(D121,D121*20+100,0)</f>
        <v>0</v>
      </c>
      <c r="F121" s="49"/>
      <c r="G121" s="49" t="n">
        <f aca="false">IF(F121,F121*20+100,0)</f>
        <v>0</v>
      </c>
      <c r="H121" s="49"/>
      <c r="I121" s="49" t="n">
        <f aca="false">IF(H121,H121*20+100,0)</f>
        <v>0</v>
      </c>
      <c r="J121" s="49"/>
      <c r="K121" s="49" t="n">
        <f aca="false">IF(J121,J121*20+100,0)</f>
        <v>0</v>
      </c>
      <c r="L121" s="49"/>
      <c r="M121" s="49" t="n">
        <f aca="false">IF(L121,L121*20+100,0)</f>
        <v>0</v>
      </c>
      <c r="N121" s="49"/>
      <c r="O121" s="49" t="n">
        <f aca="false">IF(N121,N121*20+100,0)</f>
        <v>0</v>
      </c>
      <c r="P121" s="49"/>
      <c r="Q121" s="50" t="n">
        <f aca="false">IF(P121,P121*20+100,0)</f>
        <v>0</v>
      </c>
      <c r="R121" s="49"/>
      <c r="S121" s="51" t="n">
        <f aca="false">IF(R121,R121*20+100,0)</f>
        <v>0</v>
      </c>
    </row>
    <row r="122" customFormat="false" ht="15" hidden="false" customHeight="false" outlineLevel="0" collapsed="false">
      <c r="A122" s="55" t="n">
        <v>29</v>
      </c>
      <c r="B122" s="49"/>
      <c r="C122" s="49" t="n">
        <f aca="false">IF(B122,B122*20+100,0)</f>
        <v>0</v>
      </c>
      <c r="D122" s="49"/>
      <c r="E122" s="49" t="n">
        <f aca="false">IF(D122,D122*20+100,0)</f>
        <v>0</v>
      </c>
      <c r="F122" s="49"/>
      <c r="G122" s="49" t="n">
        <f aca="false">IF(F122,F122*20+100,0)</f>
        <v>0</v>
      </c>
      <c r="H122" s="49"/>
      <c r="I122" s="49" t="n">
        <f aca="false">IF(H122,H122*20+100,0)</f>
        <v>0</v>
      </c>
      <c r="J122" s="49"/>
      <c r="K122" s="49" t="n">
        <f aca="false">IF(J122,J122*20+100,0)</f>
        <v>0</v>
      </c>
      <c r="L122" s="49"/>
      <c r="M122" s="49" t="n">
        <f aca="false">IF(L122,L122*20+100,0)</f>
        <v>0</v>
      </c>
      <c r="N122" s="49"/>
      <c r="O122" s="49" t="n">
        <f aca="false">IF(N122,N122*20+100,0)</f>
        <v>0</v>
      </c>
      <c r="P122" s="49"/>
      <c r="Q122" s="50" t="n">
        <f aca="false">IF(P122,P122*20+100,0)</f>
        <v>0</v>
      </c>
      <c r="R122" s="49"/>
      <c r="S122" s="51" t="n">
        <f aca="false">IF(R122,R122*20+100,0)</f>
        <v>0</v>
      </c>
    </row>
    <row r="123" customFormat="false" ht="15" hidden="false" customHeight="false" outlineLevel="0" collapsed="false">
      <c r="A123" s="55" t="n">
        <v>30</v>
      </c>
      <c r="B123" s="49"/>
      <c r="C123" s="49" t="n">
        <f aca="false">IF(B123,B123*20+100,0)</f>
        <v>0</v>
      </c>
      <c r="D123" s="49"/>
      <c r="E123" s="49" t="n">
        <f aca="false">IF(D123,D123*20+100,0)</f>
        <v>0</v>
      </c>
      <c r="F123" s="49"/>
      <c r="G123" s="49" t="n">
        <f aca="false">IF(F123,F123*20+100,0)</f>
        <v>0</v>
      </c>
      <c r="H123" s="49"/>
      <c r="I123" s="49" t="n">
        <f aca="false">IF(H123,H123*20+100,0)</f>
        <v>0</v>
      </c>
      <c r="J123" s="49"/>
      <c r="K123" s="49" t="n">
        <f aca="false">IF(J123,J123*20+100,0)</f>
        <v>0</v>
      </c>
      <c r="L123" s="49"/>
      <c r="M123" s="49" t="n">
        <f aca="false">IF(L123,L123*20+100,0)</f>
        <v>0</v>
      </c>
      <c r="N123" s="49"/>
      <c r="O123" s="49" t="n">
        <f aca="false">IF(N123,N123*20+100,0)</f>
        <v>0</v>
      </c>
      <c r="P123" s="49"/>
      <c r="Q123" s="50" t="n">
        <f aca="false">IF(P123,P123*20+100,0)</f>
        <v>0</v>
      </c>
      <c r="R123" s="49"/>
      <c r="S123" s="51" t="n">
        <f aca="false">IF(R123,R123*20+100,0)</f>
        <v>0</v>
      </c>
    </row>
    <row r="124" customFormat="false" ht="37.5" hidden="false" customHeight="true" outlineLevel="0" collapsed="false">
      <c r="A124" s="69"/>
      <c r="B124" s="57" t="s">
        <v>53</v>
      </c>
      <c r="C124" s="58" t="n">
        <f aca="false">SUM(C94:C123)</f>
        <v>1380</v>
      </c>
      <c r="D124" s="57" t="s">
        <v>53</v>
      </c>
      <c r="E124" s="58" t="n">
        <f aca="false">SUM(E94:E123)</f>
        <v>0</v>
      </c>
      <c r="F124" s="57" t="s">
        <v>53</v>
      </c>
      <c r="G124" s="58" t="n">
        <f aca="false">SUM(G94:G123)</f>
        <v>0</v>
      </c>
      <c r="H124" s="57" t="s">
        <v>53</v>
      </c>
      <c r="I124" s="58" t="n">
        <f aca="false">SUM(I94:I123)</f>
        <v>1300</v>
      </c>
      <c r="J124" s="57" t="s">
        <v>53</v>
      </c>
      <c r="K124" s="58" t="n">
        <f aca="false">SUM(K94:K123)</f>
        <v>0</v>
      </c>
      <c r="L124" s="57" t="s">
        <v>53</v>
      </c>
      <c r="M124" s="58" t="n">
        <f aca="false">SUM(M94:M123)</f>
        <v>660</v>
      </c>
      <c r="N124" s="57" t="s">
        <v>53</v>
      </c>
      <c r="O124" s="58" t="n">
        <f aca="false">SUM(O94:O123)</f>
        <v>0</v>
      </c>
      <c r="P124" s="57" t="s">
        <v>53</v>
      </c>
      <c r="Q124" s="58" t="n">
        <f aca="false">SUM(Q94:Q123)</f>
        <v>640</v>
      </c>
      <c r="R124" s="57" t="s">
        <v>53</v>
      </c>
      <c r="S124" s="51" t="n">
        <f aca="false">SUM(S94:S123)</f>
        <v>0</v>
      </c>
    </row>
    <row r="125" customFormat="false" ht="39.75" hidden="false" customHeight="true" outlineLevel="0" collapsed="false">
      <c r="A125" s="70"/>
      <c r="B125" s="59" t="s">
        <v>54</v>
      </c>
      <c r="C125" s="58" t="n">
        <f aca="false">IF(C124=0,9,RANK(C124,$C$124:$S$124,0))</f>
        <v>1</v>
      </c>
      <c r="D125" s="59" t="s">
        <v>54</v>
      </c>
      <c r="E125" s="58" t="n">
        <f aca="false">IF(E124=0,9,RANK(E124,$C$124:$S$124,0))</f>
        <v>9</v>
      </c>
      <c r="F125" s="59" t="s">
        <v>54</v>
      </c>
      <c r="G125" s="58" t="n">
        <f aca="false">IF(G124=0,9,RANK(G124,$C$124:$S$124,0))</f>
        <v>9</v>
      </c>
      <c r="H125" s="59" t="s">
        <v>54</v>
      </c>
      <c r="I125" s="58" t="n">
        <f aca="false">IF(I124=0,9,RANK(I124,$C$124:$S$124,0))</f>
        <v>2</v>
      </c>
      <c r="J125" s="59" t="s">
        <v>54</v>
      </c>
      <c r="K125" s="58" t="n">
        <f aca="false">IF(K124=0,9,RANK(K124,$C$124:$S$124,0))</f>
        <v>9</v>
      </c>
      <c r="L125" s="59" t="s">
        <v>54</v>
      </c>
      <c r="M125" s="58" t="n">
        <f aca="false">IF(M124=0,9,RANK(M124,$C$124:$S$124,0))</f>
        <v>3</v>
      </c>
      <c r="N125" s="59" t="s">
        <v>54</v>
      </c>
      <c r="O125" s="58" t="n">
        <f aca="false">IF(O124=0,9,RANK(O124,$C$124:$S$124,0))</f>
        <v>9</v>
      </c>
      <c r="P125" s="59" t="s">
        <v>54</v>
      </c>
      <c r="Q125" s="58" t="n">
        <f aca="false">IF(Q124=0,9,RANK(Q124,$C$124:$S$124,0))</f>
        <v>4</v>
      </c>
      <c r="R125" s="57" t="s">
        <v>54</v>
      </c>
      <c r="S125" s="51" t="n">
        <f aca="false">IF(S124=0,9,RANK(S124,$C$124:$S$124,0))</f>
        <v>9</v>
      </c>
    </row>
    <row r="126" customFormat="false" ht="15" hidden="false" customHeight="true" outlineLevel="0" collapsed="false">
      <c r="A126" s="60"/>
      <c r="B126" s="57" t="s">
        <v>55</v>
      </c>
      <c r="C126" s="49" t="n">
        <f aca="false">COUNT(B94:B123)</f>
        <v>2</v>
      </c>
      <c r="D126" s="57" t="s">
        <v>55</v>
      </c>
      <c r="E126" s="49" t="n">
        <f aca="false">COUNT(D94:D123)</f>
        <v>0</v>
      </c>
      <c r="F126" s="57" t="s">
        <v>55</v>
      </c>
      <c r="G126" s="49" t="n">
        <f aca="false">COUNT(F94:F123)</f>
        <v>0</v>
      </c>
      <c r="H126" s="57" t="s">
        <v>55</v>
      </c>
      <c r="I126" s="49" t="n">
        <f aca="false">COUNT(H94:H123)</f>
        <v>2</v>
      </c>
      <c r="J126" s="57" t="s">
        <v>55</v>
      </c>
      <c r="K126" s="49" t="n">
        <f aca="false">COUNT(J94:J123)</f>
        <v>0</v>
      </c>
      <c r="L126" s="57" t="s">
        <v>55</v>
      </c>
      <c r="M126" s="49" t="n">
        <f aca="false">COUNT(L94:L123)</f>
        <v>1</v>
      </c>
      <c r="N126" s="57" t="s">
        <v>55</v>
      </c>
      <c r="O126" s="49" t="n">
        <f aca="false">COUNT(N94:N123)</f>
        <v>0</v>
      </c>
      <c r="P126" s="57" t="s">
        <v>55</v>
      </c>
      <c r="Q126" s="50" t="n">
        <f aca="false">COUNT(P94:P123)</f>
        <v>1</v>
      </c>
      <c r="R126" s="57" t="s">
        <v>55</v>
      </c>
      <c r="S126" s="51" t="n">
        <f aca="false">COUNT(R94:R123)</f>
        <v>0</v>
      </c>
    </row>
    <row r="127" customFormat="false" ht="15" hidden="false" customHeight="false" outlineLevel="0" collapsed="false">
      <c r="A127" s="60"/>
      <c r="B127" s="57"/>
      <c r="C127" s="49"/>
      <c r="D127" s="57"/>
      <c r="E127" s="49"/>
      <c r="F127" s="57"/>
      <c r="G127" s="49"/>
      <c r="H127" s="57"/>
      <c r="I127" s="49"/>
      <c r="J127" s="57"/>
      <c r="K127" s="49"/>
      <c r="L127" s="57"/>
      <c r="M127" s="49"/>
      <c r="N127" s="57"/>
      <c r="O127" s="49"/>
      <c r="P127" s="57"/>
      <c r="Q127" s="50"/>
      <c r="R127" s="57"/>
      <c r="S127" s="51"/>
    </row>
    <row r="128" customFormat="false" ht="15" hidden="false" customHeight="false" outlineLevel="0" collapsed="false">
      <c r="A128" s="60"/>
      <c r="B128" s="57"/>
      <c r="C128" s="49"/>
      <c r="D128" s="57"/>
      <c r="E128" s="49"/>
      <c r="F128" s="57"/>
      <c r="G128" s="49"/>
      <c r="H128" s="57"/>
      <c r="I128" s="49"/>
      <c r="J128" s="57"/>
      <c r="K128" s="49"/>
      <c r="L128" s="57"/>
      <c r="M128" s="49"/>
      <c r="N128" s="57"/>
      <c r="O128" s="49"/>
      <c r="P128" s="57"/>
      <c r="Q128" s="50"/>
      <c r="R128" s="57"/>
      <c r="S128" s="51"/>
    </row>
    <row r="129" customFormat="false" ht="45.75" hidden="false" customHeight="true" outlineLevel="0" collapsed="false">
      <c r="A129" s="61"/>
      <c r="B129" s="62" t="s">
        <v>56</v>
      </c>
      <c r="C129" s="62" t="n">
        <f aca="false">MAX(B94:B123)</f>
        <v>31</v>
      </c>
      <c r="D129" s="62" t="s">
        <v>56</v>
      </c>
      <c r="E129" s="62" t="n">
        <f aca="false">MAX(D94:D123)</f>
        <v>0</v>
      </c>
      <c r="F129" s="62" t="s">
        <v>56</v>
      </c>
      <c r="G129" s="62" t="n">
        <f aca="false">MAX(F94:F123)</f>
        <v>0</v>
      </c>
      <c r="H129" s="62" t="s">
        <v>56</v>
      </c>
      <c r="I129" s="62" t="n">
        <f aca="false">MAX(H94:H123)</f>
        <v>28</v>
      </c>
      <c r="J129" s="62" t="s">
        <v>56</v>
      </c>
      <c r="K129" s="62" t="n">
        <f aca="false">MAX(J94:J123)</f>
        <v>0</v>
      </c>
      <c r="L129" s="62" t="s">
        <v>56</v>
      </c>
      <c r="M129" s="62" t="n">
        <f aca="false">MAX(L94:L123)</f>
        <v>28</v>
      </c>
      <c r="N129" s="62" t="s">
        <v>56</v>
      </c>
      <c r="O129" s="62" t="n">
        <f aca="false">MAX(N94:N123)</f>
        <v>0</v>
      </c>
      <c r="P129" s="62" t="s">
        <v>56</v>
      </c>
      <c r="Q129" s="67" t="n">
        <f aca="false">MAX(P94:P123)</f>
        <v>27</v>
      </c>
      <c r="R129" s="62" t="s">
        <v>56</v>
      </c>
      <c r="S129" s="68" t="n">
        <f aca="false">MAX(R94:R123)</f>
        <v>0</v>
      </c>
    </row>
  </sheetData>
  <mergeCells count="114">
    <mergeCell ref="A1:S2"/>
    <mergeCell ref="A3:A5"/>
    <mergeCell ref="B3:C3"/>
    <mergeCell ref="D3:E3"/>
    <mergeCell ref="F3:G3"/>
    <mergeCell ref="H3:I3"/>
    <mergeCell ref="J3:K3"/>
    <mergeCell ref="L3:M3"/>
    <mergeCell ref="N3:O3"/>
    <mergeCell ref="P3:Q3"/>
    <mergeCell ref="R3:S3"/>
    <mergeCell ref="B4:C4"/>
    <mergeCell ref="D4:E4"/>
    <mergeCell ref="F4:G4"/>
    <mergeCell ref="H4:I4"/>
    <mergeCell ref="J4:K4"/>
    <mergeCell ref="L4:M4"/>
    <mergeCell ref="N4:O4"/>
    <mergeCell ref="P4:Q4"/>
    <mergeCell ref="R4:S4"/>
    <mergeCell ref="B38:B40"/>
    <mergeCell ref="C38:C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A45:S46"/>
    <mergeCell ref="A47:A49"/>
    <mergeCell ref="B47:C47"/>
    <mergeCell ref="D47:E47"/>
    <mergeCell ref="F47:G47"/>
    <mergeCell ref="H47:I47"/>
    <mergeCell ref="J47:K47"/>
    <mergeCell ref="L47:M47"/>
    <mergeCell ref="N47:O47"/>
    <mergeCell ref="P47:Q47"/>
    <mergeCell ref="R47:S47"/>
    <mergeCell ref="B48:C48"/>
    <mergeCell ref="D48:E48"/>
    <mergeCell ref="F48:G48"/>
    <mergeCell ref="H48:I48"/>
    <mergeCell ref="J48:K48"/>
    <mergeCell ref="L48:M48"/>
    <mergeCell ref="N48:O48"/>
    <mergeCell ref="P48:Q48"/>
    <mergeCell ref="R48:S48"/>
    <mergeCell ref="B82:B84"/>
    <mergeCell ref="C82:C84"/>
    <mergeCell ref="D82:D84"/>
    <mergeCell ref="E82:E84"/>
    <mergeCell ref="F82:F84"/>
    <mergeCell ref="G82:G84"/>
    <mergeCell ref="H82:H84"/>
    <mergeCell ref="I82:I84"/>
    <mergeCell ref="J82:J84"/>
    <mergeCell ref="K82:K84"/>
    <mergeCell ref="L82:L84"/>
    <mergeCell ref="M82:M84"/>
    <mergeCell ref="N82:N84"/>
    <mergeCell ref="O82:O84"/>
    <mergeCell ref="P82:P84"/>
    <mergeCell ref="Q82:Q84"/>
    <mergeCell ref="R82:R84"/>
    <mergeCell ref="S82:S84"/>
    <mergeCell ref="A89:S90"/>
    <mergeCell ref="A91:A93"/>
    <mergeCell ref="B91:C91"/>
    <mergeCell ref="D91:E91"/>
    <mergeCell ref="F91:G91"/>
    <mergeCell ref="H91:I91"/>
    <mergeCell ref="J91:K91"/>
    <mergeCell ref="L91:M91"/>
    <mergeCell ref="N91:O91"/>
    <mergeCell ref="P91:Q91"/>
    <mergeCell ref="R91:S91"/>
    <mergeCell ref="B92:C92"/>
    <mergeCell ref="D92:E92"/>
    <mergeCell ref="F92:G92"/>
    <mergeCell ref="H92:I92"/>
    <mergeCell ref="J92:K92"/>
    <mergeCell ref="L92:M92"/>
    <mergeCell ref="N92:O92"/>
    <mergeCell ref="P92:Q92"/>
    <mergeCell ref="R92:S92"/>
    <mergeCell ref="B126:B128"/>
    <mergeCell ref="C126:C128"/>
    <mergeCell ref="D126:D128"/>
    <mergeCell ref="E126:E128"/>
    <mergeCell ref="F126:F128"/>
    <mergeCell ref="G126:G128"/>
    <mergeCell ref="H126:H128"/>
    <mergeCell ref="I126:I128"/>
    <mergeCell ref="J126:J128"/>
    <mergeCell ref="K126:K128"/>
    <mergeCell ref="L126:L128"/>
    <mergeCell ref="M126:M128"/>
    <mergeCell ref="N126:N128"/>
    <mergeCell ref="O126:O128"/>
    <mergeCell ref="P126:P128"/>
    <mergeCell ref="Q126:Q128"/>
    <mergeCell ref="R126:R128"/>
    <mergeCell ref="S126:S1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35"/>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U18" activeCellId="0" sqref="U18"/>
    </sheetView>
  </sheetViews>
  <sheetFormatPr defaultColWidth="8.54296875" defaultRowHeight="15" customHeight="false" zeroHeight="false" outlineLevelRow="0" outlineLevelCol="0"/>
  <cols>
    <col collapsed="false" customWidth="true" hidden="false" outlineLevel="0" max="1" min="1" style="0" width="8"/>
    <col collapsed="false" customWidth="true" hidden="false" outlineLevel="0" max="5" min="5" style="0" width="6.14"/>
    <col collapsed="false" customWidth="true" hidden="false" outlineLevel="0" max="9" min="9" style="0" width="11.71"/>
    <col collapsed="false" customWidth="true" hidden="false" outlineLevel="0" max="10" min="10" style="0" width="9.14"/>
    <col collapsed="false" customWidth="true" hidden="false" outlineLevel="0" max="11" min="11" style="0" width="12.29"/>
    <col collapsed="false" customWidth="true" hidden="false" outlineLevel="0" max="13" min="13" style="0" width="11.43"/>
    <col collapsed="false" customWidth="true" hidden="false" outlineLevel="0" max="15" min="15" style="0" width="13"/>
    <col collapsed="false" customWidth="true" hidden="false" outlineLevel="0" max="16" min="16" style="0" width="16"/>
    <col collapsed="false" customWidth="true" hidden="false" outlineLevel="0" max="17" min="17" style="0" width="10.71"/>
  </cols>
  <sheetData>
    <row r="2" customFormat="false" ht="15" hidden="false" customHeight="true" outlineLevel="0" collapsed="false">
      <c r="A2" s="78" t="s">
        <v>65</v>
      </c>
      <c r="B2" s="78"/>
      <c r="C2" s="78"/>
      <c r="D2" s="78"/>
      <c r="E2" s="78"/>
      <c r="F2" s="78"/>
      <c r="G2" s="78"/>
      <c r="H2" s="78"/>
      <c r="I2" s="78"/>
      <c r="J2" s="78"/>
      <c r="K2" s="78"/>
      <c r="L2" s="78"/>
      <c r="M2" s="78"/>
      <c r="N2" s="78"/>
      <c r="O2" s="78"/>
      <c r="P2" s="78"/>
      <c r="Q2" s="78"/>
    </row>
    <row r="3" customFormat="false" ht="15" hidden="false" customHeight="true" outlineLevel="0" collapsed="false">
      <c r="A3" s="78"/>
      <c r="B3" s="78"/>
      <c r="C3" s="78"/>
      <c r="D3" s="78"/>
      <c r="E3" s="78"/>
      <c r="F3" s="78"/>
      <c r="G3" s="78"/>
      <c r="H3" s="78"/>
      <c r="I3" s="78"/>
      <c r="J3" s="78"/>
      <c r="K3" s="78"/>
      <c r="L3" s="78"/>
      <c r="M3" s="78"/>
      <c r="N3" s="78"/>
      <c r="O3" s="78"/>
      <c r="P3" s="78"/>
      <c r="Q3" s="78"/>
    </row>
    <row r="4" customFormat="false" ht="21" hidden="false" customHeight="true" outlineLevel="0" collapsed="false">
      <c r="A4" s="79" t="s">
        <v>49</v>
      </c>
      <c r="B4" s="80" t="s">
        <v>66</v>
      </c>
      <c r="C4" s="80"/>
      <c r="D4" s="80"/>
      <c r="E4" s="80"/>
      <c r="F4" s="81" t="s">
        <v>7</v>
      </c>
      <c r="G4" s="81"/>
      <c r="H4" s="81"/>
      <c r="I4" s="82" t="s">
        <v>67</v>
      </c>
      <c r="J4" s="82"/>
      <c r="K4" s="82" t="s">
        <v>68</v>
      </c>
      <c r="L4" s="82"/>
      <c r="M4" s="82" t="s">
        <v>69</v>
      </c>
      <c r="N4" s="82"/>
      <c r="O4" s="83" t="s">
        <v>70</v>
      </c>
      <c r="P4" s="83"/>
      <c r="Q4" s="84" t="s">
        <v>71</v>
      </c>
    </row>
    <row r="5" customFormat="false" ht="15" hidden="false" customHeight="true" outlineLevel="0" collapsed="false">
      <c r="A5" s="79"/>
      <c r="B5" s="80"/>
      <c r="C5" s="80"/>
      <c r="D5" s="80"/>
      <c r="E5" s="80"/>
      <c r="F5" s="81"/>
      <c r="G5" s="81"/>
      <c r="H5" s="81"/>
      <c r="I5" s="48" t="s">
        <v>72</v>
      </c>
      <c r="J5" s="85" t="s">
        <v>73</v>
      </c>
      <c r="K5" s="48" t="s">
        <v>74</v>
      </c>
      <c r="L5" s="85" t="s">
        <v>73</v>
      </c>
      <c r="M5" s="48" t="s">
        <v>75</v>
      </c>
      <c r="N5" s="85" t="s">
        <v>73</v>
      </c>
      <c r="O5" s="86" t="s">
        <v>53</v>
      </c>
      <c r="P5" s="87" t="s">
        <v>76</v>
      </c>
      <c r="Q5" s="84"/>
    </row>
    <row r="6" customFormat="false" ht="32.25" hidden="false" customHeight="true" outlineLevel="0" collapsed="false">
      <c r="A6" s="79"/>
      <c r="B6" s="80"/>
      <c r="C6" s="80"/>
      <c r="D6" s="80"/>
      <c r="E6" s="80"/>
      <c r="F6" s="81"/>
      <c r="G6" s="81"/>
      <c r="H6" s="81"/>
      <c r="I6" s="48"/>
      <c r="J6" s="85"/>
      <c r="K6" s="48"/>
      <c r="L6" s="85"/>
      <c r="M6" s="48"/>
      <c r="N6" s="85"/>
      <c r="O6" s="86"/>
      <c r="P6" s="87"/>
      <c r="Q6" s="84"/>
    </row>
    <row r="7" customFormat="false" ht="19.5" hidden="false" customHeight="true" outlineLevel="0" collapsed="false">
      <c r="A7" s="88" t="n">
        <v>1</v>
      </c>
      <c r="B7" s="89" t="str">
        <f aca="false">TABELA!F10</f>
        <v>MILJAN ANĐIĆ</v>
      </c>
      <c r="C7" s="89"/>
      <c r="D7" s="89"/>
      <c r="E7" s="89"/>
      <c r="F7" s="90" t="str">
        <f aca="false">TABELA!B10</f>
        <v>SRK GORŠTAK - KOLAŠIN</v>
      </c>
      <c r="G7" s="90"/>
      <c r="H7" s="90"/>
      <c r="I7" s="91" t="n">
        <f aca="false">'GRUPA I'!C36</f>
        <v>0</v>
      </c>
      <c r="J7" s="92" t="n">
        <f aca="false">'GRUPA I'!C37</f>
        <v>9</v>
      </c>
      <c r="K7" s="91" t="n">
        <f aca="false">'GRUPA I'!C81</f>
        <v>1240</v>
      </c>
      <c r="L7" s="92" t="n">
        <f aca="false">'GRUPA I'!C82</f>
        <v>4</v>
      </c>
      <c r="M7" s="91" t="n">
        <f aca="false">'GRUPA I'!C124</f>
        <v>0</v>
      </c>
      <c r="N7" s="92" t="n">
        <f aca="false">'GRUPA I'!C125</f>
        <v>9</v>
      </c>
      <c r="O7" s="93" t="n">
        <f aca="false">(I7+K7+M7)</f>
        <v>1240</v>
      </c>
      <c r="P7" s="94" t="n">
        <f aca="false">(J7+L7+N7)</f>
        <v>22</v>
      </c>
      <c r="Q7" s="95" t="n">
        <f aca="false">RANK(P7,$P$7:$P$33,1)+COUNTIFS($P$7:$P$33,P7,$O$7:$O$33,"&gt;"&amp;O7)</f>
        <v>20</v>
      </c>
    </row>
    <row r="8" customFormat="false" ht="19.5" hidden="false" customHeight="true" outlineLevel="0" collapsed="false">
      <c r="A8" s="88" t="n">
        <v>2</v>
      </c>
      <c r="B8" s="89" t="str">
        <f aca="false">TABELA!F11</f>
        <v>ARSO JEREMIĆ</v>
      </c>
      <c r="C8" s="89"/>
      <c r="D8" s="89"/>
      <c r="E8" s="89"/>
      <c r="F8" s="90" t="str">
        <f aca="false">TABELA!B11</f>
        <v>SRK KOLAŠIN</v>
      </c>
      <c r="G8" s="90"/>
      <c r="H8" s="90"/>
      <c r="I8" s="91" t="n">
        <f aca="false">'GRUPA I'!E36</f>
        <v>1360</v>
      </c>
      <c r="J8" s="92" t="n">
        <f aca="false">'GRUPA I'!E37</f>
        <v>3</v>
      </c>
      <c r="K8" s="91" t="n">
        <f aca="false">'GRUPA I'!E81</f>
        <v>1780</v>
      </c>
      <c r="L8" s="92" t="n">
        <f aca="false">'GRUPA I'!E82</f>
        <v>2</v>
      </c>
      <c r="M8" s="91" t="n">
        <f aca="false">'GRUPA I'!E124</f>
        <v>1220</v>
      </c>
      <c r="N8" s="92" t="n">
        <f aca="false">'GRUPA I'!E125</f>
        <v>4</v>
      </c>
      <c r="O8" s="93" t="n">
        <f aca="false">(I8+K8+M8)</f>
        <v>4360</v>
      </c>
      <c r="P8" s="94" t="n">
        <f aca="false">(J8+L8+N8)</f>
        <v>9</v>
      </c>
      <c r="Q8" s="95" t="n">
        <f aca="false">RANK(P8,$P$7:$P$33,1)+COUNTIFS($P$7:$P$33,P8,$O$7:$O$33,"&gt;"&amp;O8)</f>
        <v>4</v>
      </c>
    </row>
    <row r="9" customFormat="false" ht="19.5" hidden="false" customHeight="true" outlineLevel="0" collapsed="false">
      <c r="A9" s="88" t="n">
        <v>3</v>
      </c>
      <c r="B9" s="89" t="str">
        <f aca="false">TABELA!F12</f>
        <v>NIKOLA ĐALOVIĆ</v>
      </c>
      <c r="C9" s="89"/>
      <c r="D9" s="89"/>
      <c r="E9" s="89"/>
      <c r="F9" s="90" t="str">
        <f aca="false">TABELA!B12</f>
        <v>SRK VODENE LISICE</v>
      </c>
      <c r="G9" s="90"/>
      <c r="H9" s="90"/>
      <c r="I9" s="91" t="n">
        <f aca="false">'GRUPA I'!G36</f>
        <v>660</v>
      </c>
      <c r="J9" s="92" t="n">
        <f aca="false">'GRUPA I'!G37</f>
        <v>6</v>
      </c>
      <c r="K9" s="91" t="n">
        <f aca="false">'GRUPA I'!G81</f>
        <v>520</v>
      </c>
      <c r="L9" s="92" t="n">
        <f aca="false">'GRUPA I'!G82</f>
        <v>7</v>
      </c>
      <c r="M9" s="91" t="n">
        <f aca="false">'GRUPA I'!G124</f>
        <v>1240</v>
      </c>
      <c r="N9" s="92" t="n">
        <f aca="false">'GRUPA I'!G125</f>
        <v>3</v>
      </c>
      <c r="O9" s="93" t="n">
        <f aca="false">(I9+K9+M9)</f>
        <v>2420</v>
      </c>
      <c r="P9" s="94" t="n">
        <f aca="false">(J9+L9+N9)</f>
        <v>16</v>
      </c>
      <c r="Q9" s="95" t="n">
        <f aca="false">RANK(P9,$P$7:$P$33,1)+COUNTIFS($P$7:$P$33,P9,$O$7:$O$33,"&gt;"&amp;O9)</f>
        <v>14</v>
      </c>
    </row>
    <row r="10" customFormat="false" ht="19.5" hidden="false" customHeight="true" outlineLevel="0" collapsed="false">
      <c r="A10" s="88" t="n">
        <v>4</v>
      </c>
      <c r="B10" s="89" t="str">
        <f aca="false">TABELA!F13</f>
        <v>SAVO RAIČEVIĆ</v>
      </c>
      <c r="C10" s="89"/>
      <c r="D10" s="89"/>
      <c r="E10" s="89"/>
      <c r="F10" s="90" t="str">
        <f aca="false">TABELA!B13</f>
        <v>SRK TARA - MOJKOVAC</v>
      </c>
      <c r="G10" s="90"/>
      <c r="H10" s="90"/>
      <c r="I10" s="91" t="n">
        <f aca="false">'GRUPA I'!I36</f>
        <v>640</v>
      </c>
      <c r="J10" s="92" t="n">
        <f aca="false">'GRUPA I'!I37</f>
        <v>7</v>
      </c>
      <c r="K10" s="91" t="n">
        <f aca="false">'GRUPA I'!I81</f>
        <v>0</v>
      </c>
      <c r="L10" s="92" t="n">
        <f aca="false">'GRUPA I'!I82</f>
        <v>9</v>
      </c>
      <c r="M10" s="91" t="n">
        <f aca="false">'GRUPA I'!I124</f>
        <v>0</v>
      </c>
      <c r="N10" s="92" t="n">
        <f aca="false">'GRUPA I'!I125</f>
        <v>9</v>
      </c>
      <c r="O10" s="93" t="n">
        <f aca="false">(I10+K10+M10)</f>
        <v>640</v>
      </c>
      <c r="P10" s="94" t="n">
        <f aca="false">(J10+L10+N10)</f>
        <v>25</v>
      </c>
      <c r="Q10" s="95" t="n">
        <f aca="false">RANK(P10,$P$7:$P$33,1)+COUNTIFS($P$7:$P$33,P10,$O$7:$O$33,"&gt;"&amp;O10)</f>
        <v>26</v>
      </c>
    </row>
    <row r="11" customFormat="false" ht="19.5" hidden="false" customHeight="true" outlineLevel="0" collapsed="false">
      <c r="A11" s="88" t="n">
        <v>5</v>
      </c>
      <c r="B11" s="89" t="str">
        <f aca="false">TABELA!F14</f>
        <v>RADOVAN KRKOVIĆ</v>
      </c>
      <c r="C11" s="89"/>
      <c r="D11" s="89"/>
      <c r="E11" s="89"/>
      <c r="F11" s="90" t="str">
        <f aca="false">TABELA!B14</f>
        <v>SRFFK MANIRO - KOLAŠIN</v>
      </c>
      <c r="G11" s="90"/>
      <c r="H11" s="90"/>
      <c r="I11" s="91" t="n">
        <f aca="false">'GRUPA I'!K36</f>
        <v>2020</v>
      </c>
      <c r="J11" s="92" t="n">
        <f aca="false">'GRUPA I'!K37</f>
        <v>2</v>
      </c>
      <c r="K11" s="91" t="n">
        <f aca="false">'GRUPA I'!K81</f>
        <v>1300</v>
      </c>
      <c r="L11" s="92" t="n">
        <f aca="false">'GRUPA I'!K82</f>
        <v>3</v>
      </c>
      <c r="M11" s="91" t="n">
        <f aca="false">'GRUPA I'!K124</f>
        <v>0</v>
      </c>
      <c r="N11" s="92" t="n">
        <f aca="false">'GRUPA I'!K125</f>
        <v>9</v>
      </c>
      <c r="O11" s="93" t="n">
        <f aca="false">(I11+K11+M11)</f>
        <v>3320</v>
      </c>
      <c r="P11" s="94" t="n">
        <f aca="false">(J11+L11+N11)</f>
        <v>14</v>
      </c>
      <c r="Q11" s="95" t="n">
        <f aca="false">RANK(P11,$P$7:$P$33,1)+COUNTIFS($P$7:$P$33,P11,$O$7:$O$33,"&gt;"&amp;O11)</f>
        <v>11</v>
      </c>
    </row>
    <row r="12" customFormat="false" ht="19.5" hidden="false" customHeight="true" outlineLevel="0" collapsed="false">
      <c r="A12" s="88" t="n">
        <v>6</v>
      </c>
      <c r="B12" s="89" t="str">
        <f aca="false">TABELA!F15</f>
        <v>ALEKSANDAR GAŠEVIĆ</v>
      </c>
      <c r="C12" s="89"/>
      <c r="D12" s="89"/>
      <c r="E12" s="89"/>
      <c r="F12" s="90" t="str">
        <f aca="false">TABELA!B15</f>
        <v>SRFFK RAVNJAK - MOJKOVAC</v>
      </c>
      <c r="G12" s="90"/>
      <c r="H12" s="90"/>
      <c r="I12" s="91" t="n">
        <f aca="false">'GRUPA I'!M36</f>
        <v>3260</v>
      </c>
      <c r="J12" s="92" t="n">
        <f aca="false">'GRUPA I'!M37</f>
        <v>1</v>
      </c>
      <c r="K12" s="91" t="n">
        <f aca="false">'GRUPA I'!M81</f>
        <v>3160</v>
      </c>
      <c r="L12" s="92" t="n">
        <f aca="false">'GRUPA I'!M82</f>
        <v>1</v>
      </c>
      <c r="M12" s="91" t="n">
        <f aca="false">'GRUPA I'!M124</f>
        <v>2240</v>
      </c>
      <c r="N12" s="92" t="n">
        <f aca="false">'GRUPA I'!M125</f>
        <v>1</v>
      </c>
      <c r="O12" s="93" t="n">
        <f aca="false">(I12+K12+M12)</f>
        <v>8660</v>
      </c>
      <c r="P12" s="94" t="n">
        <f aca="false">(J12+L12+N12)</f>
        <v>3</v>
      </c>
      <c r="Q12" s="95" t="n">
        <f aca="false">RANK(P12,$P$7:$P$33,1)+COUNTIFS($P$7:$P$33,P12,$O$7:$O$33,"&gt;"&amp;O12)</f>
        <v>1</v>
      </c>
    </row>
    <row r="13" customFormat="false" ht="19.5" hidden="false" customHeight="true" outlineLevel="0" collapsed="false">
      <c r="A13" s="88" t="n">
        <v>7</v>
      </c>
      <c r="B13" s="89" t="str">
        <f aca="false">TABELA!F16</f>
        <v>MILUN ĐUROVIĆ</v>
      </c>
      <c r="C13" s="89"/>
      <c r="D13" s="89"/>
      <c r="E13" s="89"/>
      <c r="F13" s="90" t="str">
        <f aca="false">TABELA!B16</f>
        <v>SRK LIM - BERANE</v>
      </c>
      <c r="G13" s="90"/>
      <c r="H13" s="90"/>
      <c r="I13" s="91" t="n">
        <f aca="false">'GRUPA I'!O36</f>
        <v>820</v>
      </c>
      <c r="J13" s="92" t="n">
        <f aca="false">'GRUPA I'!O37</f>
        <v>4</v>
      </c>
      <c r="K13" s="91" t="n">
        <f aca="false">'GRUPA I'!O81</f>
        <v>0</v>
      </c>
      <c r="L13" s="92" t="n">
        <f aca="false">'GRUPA I'!O82</f>
        <v>9</v>
      </c>
      <c r="M13" s="91" t="n">
        <f aca="false">'GRUPA I'!O124</f>
        <v>540</v>
      </c>
      <c r="N13" s="92" t="n">
        <f aca="false">'GRUPA I'!O125</f>
        <v>5</v>
      </c>
      <c r="O13" s="93" t="n">
        <f aca="false">(I13+K13+M13)</f>
        <v>1360</v>
      </c>
      <c r="P13" s="94" t="n">
        <f aca="false">(J13+L13+N13)</f>
        <v>18</v>
      </c>
      <c r="Q13" s="95" t="n">
        <f aca="false">RANK(P13,$P$7:$P$33,1)+COUNTIFS($P$7:$P$33,P13,$O$7:$O$33,"&gt;"&amp;O13)</f>
        <v>17</v>
      </c>
    </row>
    <row r="14" customFormat="false" ht="19.5" hidden="false" customHeight="true" outlineLevel="0" collapsed="false">
      <c r="A14" s="88" t="n">
        <v>8</v>
      </c>
      <c r="B14" s="89" t="str">
        <f aca="false">TABELA!F17</f>
        <v>KEMAL AJANOVIĆ</v>
      </c>
      <c r="C14" s="89"/>
      <c r="D14" s="89"/>
      <c r="E14" s="89"/>
      <c r="F14" s="90" t="str">
        <f aca="false">TABELA!B17</f>
        <v>SRK LIPLJEN - PLJEVLJA</v>
      </c>
      <c r="G14" s="90"/>
      <c r="H14" s="90"/>
      <c r="I14" s="91" t="n">
        <f aca="false">'GRUPA I'!Q36</f>
        <v>780</v>
      </c>
      <c r="J14" s="92" t="n">
        <f aca="false">'GRUPA I'!Q37</f>
        <v>5</v>
      </c>
      <c r="K14" s="91" t="n">
        <f aca="false">'GRUPA I'!Q81</f>
        <v>640</v>
      </c>
      <c r="L14" s="92" t="n">
        <f aca="false">'GRUPA I'!Q82</f>
        <v>6</v>
      </c>
      <c r="M14" s="91" t="n">
        <f aca="false">'GRUPA I'!Q124</f>
        <v>1300</v>
      </c>
      <c r="N14" s="92" t="n">
        <f aca="false">'GRUPA I'!Q125</f>
        <v>2</v>
      </c>
      <c r="O14" s="93" t="n">
        <f aca="false">(I14+K14+M14)</f>
        <v>2720</v>
      </c>
      <c r="P14" s="94" t="n">
        <f aca="false">(J14+L14+N14)</f>
        <v>13</v>
      </c>
      <c r="Q14" s="95" t="n">
        <f aca="false">RANK(P14,$P$7:$P$33,1)+COUNTIFS($P$7:$P$33,P14,$O$7:$O$33,"&gt;"&amp;O14)</f>
        <v>10</v>
      </c>
    </row>
    <row r="15" customFormat="false" ht="19.5" hidden="false" customHeight="true" outlineLevel="0" collapsed="false">
      <c r="A15" s="88" t="n">
        <v>9</v>
      </c>
      <c r="B15" s="89" t="str">
        <f aca="false">TABELA!F18</f>
        <v>DAMIR CANOVIĆ</v>
      </c>
      <c r="C15" s="89"/>
      <c r="D15" s="89"/>
      <c r="E15" s="89"/>
      <c r="F15" s="90" t="str">
        <f aca="false">TABELA!B18</f>
        <v>SRK PLAVSKO JEZERO</v>
      </c>
      <c r="G15" s="90"/>
      <c r="H15" s="90"/>
      <c r="I15" s="91" t="n">
        <f aca="false">'GRUPA I'!S36</f>
        <v>0</v>
      </c>
      <c r="J15" s="92" t="n">
        <f aca="false">'GRUPA I'!S37</f>
        <v>9</v>
      </c>
      <c r="K15" s="91" t="n">
        <f aca="false">'GRUPA I'!S81</f>
        <v>860</v>
      </c>
      <c r="L15" s="92" t="n">
        <f aca="false">'GRUPA I'!S82</f>
        <v>5</v>
      </c>
      <c r="M15" s="91" t="n">
        <f aca="false">'GRUPA I'!S124</f>
        <v>0</v>
      </c>
      <c r="N15" s="92" t="n">
        <f aca="false">'GRUPA I'!S125</f>
        <v>9</v>
      </c>
      <c r="O15" s="93" t="n">
        <f aca="false">(I15+K15+M15)</f>
        <v>860</v>
      </c>
      <c r="P15" s="94" t="n">
        <f aca="false">(J15+L15+N15)</f>
        <v>23</v>
      </c>
      <c r="Q15" s="95" t="n">
        <f aca="false">RANK(P15,$P$7:$P$33,1)+COUNTIFS($P$7:$P$33,P15,$O$7:$O$33,"&gt;"&amp;O15)</f>
        <v>23</v>
      </c>
    </row>
    <row r="16" customFormat="false" ht="19.5" hidden="false" customHeight="true" outlineLevel="0" collapsed="false">
      <c r="A16" s="88" t="n">
        <v>10</v>
      </c>
      <c r="B16" s="89" t="str">
        <f aca="false">TABELA!H10</f>
        <v>VLATKO PEKOVIĆ</v>
      </c>
      <c r="C16" s="89"/>
      <c r="D16" s="89"/>
      <c r="E16" s="89"/>
      <c r="F16" s="90" t="str">
        <f aca="false">TABELA!B10</f>
        <v>SRK GORŠTAK - KOLAŠIN</v>
      </c>
      <c r="G16" s="90"/>
      <c r="H16" s="90"/>
      <c r="I16" s="91" t="n">
        <f aca="false">'GRUPA II'!C36</f>
        <v>4120</v>
      </c>
      <c r="J16" s="92" t="n">
        <f aca="false">'GRUPA II'!C37</f>
        <v>1</v>
      </c>
      <c r="K16" s="91" t="n">
        <f aca="false">'GRUPA II'!C80</f>
        <v>640</v>
      </c>
      <c r="L16" s="92" t="n">
        <f aca="false">'GRUPA II'!C81</f>
        <v>3</v>
      </c>
      <c r="M16" s="91" t="n">
        <f aca="false">'GRUPA II'!C124</f>
        <v>880</v>
      </c>
      <c r="N16" s="92" t="n">
        <f aca="false">'GRUPA II'!C126</f>
        <v>3</v>
      </c>
      <c r="O16" s="93" t="n">
        <f aca="false">(I16+K16+M16)</f>
        <v>5640</v>
      </c>
      <c r="P16" s="94" t="n">
        <f aca="false">(J16+L16+N16)</f>
        <v>7</v>
      </c>
      <c r="Q16" s="95" t="n">
        <f aca="false">RANK(P16,$P$7:$P$33,1)+COUNTIFS($P$7:$P$33,P16,$O$7:$O$33,"&gt;"&amp;O16)</f>
        <v>2</v>
      </c>
    </row>
    <row r="17" customFormat="false" ht="19.5" hidden="false" customHeight="true" outlineLevel="0" collapsed="false">
      <c r="A17" s="88" t="n">
        <v>11</v>
      </c>
      <c r="B17" s="89" t="str">
        <f aca="false">TABELA!H11</f>
        <v>IVICA RAJKOVIĆ</v>
      </c>
      <c r="C17" s="89"/>
      <c r="D17" s="89"/>
      <c r="E17" s="89"/>
      <c r="F17" s="90" t="str">
        <f aca="false">TABELA!B11</f>
        <v>SRK KOLAŠIN</v>
      </c>
      <c r="G17" s="90"/>
      <c r="H17" s="90"/>
      <c r="I17" s="91" t="n">
        <f aca="false">'GRUPA II'!E36</f>
        <v>3840</v>
      </c>
      <c r="J17" s="92" t="n">
        <f aca="false">'GRUPA II'!E37</f>
        <v>2</v>
      </c>
      <c r="K17" s="91" t="n">
        <f aca="false">'GRUPA II'!E80</f>
        <v>520</v>
      </c>
      <c r="L17" s="92" t="n">
        <f aca="false">'GRUPA II'!E81</f>
        <v>8</v>
      </c>
      <c r="M17" s="91" t="n">
        <f aca="false">'GRUPA II'!E124</f>
        <v>600</v>
      </c>
      <c r="N17" s="92" t="n">
        <f aca="false">'GRUPA II'!E126</f>
        <v>5</v>
      </c>
      <c r="O17" s="93" t="n">
        <f aca="false">(I17+K17+M17)</f>
        <v>4960</v>
      </c>
      <c r="P17" s="94" t="n">
        <f aca="false">(J17+L17+N17)</f>
        <v>15</v>
      </c>
      <c r="Q17" s="95" t="n">
        <f aca="false">RANK(P17,$P$7:$P$33,1)+COUNTIFS($P$7:$P$33,P17,$O$7:$O$33,"&gt;"&amp;O17)</f>
        <v>12</v>
      </c>
    </row>
    <row r="18" customFormat="false" ht="19.5" hidden="false" customHeight="true" outlineLevel="0" collapsed="false">
      <c r="A18" s="88" t="n">
        <v>12</v>
      </c>
      <c r="B18" s="89" t="str">
        <f aca="false">TABELA!H12</f>
        <v>PETAR OBRADOVIĆ</v>
      </c>
      <c r="C18" s="89"/>
      <c r="D18" s="89"/>
      <c r="E18" s="89"/>
      <c r="F18" s="90" t="str">
        <f aca="false">TABELA!B12</f>
        <v>SRK VODENE LISICE</v>
      </c>
      <c r="G18" s="90"/>
      <c r="H18" s="90"/>
      <c r="I18" s="91" t="n">
        <f aca="false">'GRUPA II'!G36</f>
        <v>680</v>
      </c>
      <c r="J18" s="92" t="n">
        <f aca="false">'GRUPA II'!G37</f>
        <v>7</v>
      </c>
      <c r="K18" s="91" t="n">
        <f aca="false">'GRUPA II'!G80</f>
        <v>680</v>
      </c>
      <c r="L18" s="92" t="n">
        <f aca="false">'GRUPA II'!G81</f>
        <v>2</v>
      </c>
      <c r="M18" s="91" t="n">
        <f aca="false">'GRUPA II'!G124</f>
        <v>1400</v>
      </c>
      <c r="N18" s="92" t="n">
        <f aca="false">'GRUPA II'!G126</f>
        <v>1</v>
      </c>
      <c r="O18" s="93" t="n">
        <f aca="false">(I18+K18+M18)</f>
        <v>2760</v>
      </c>
      <c r="P18" s="94" t="n">
        <f aca="false">(J18+L18+N18)</f>
        <v>10</v>
      </c>
      <c r="Q18" s="95" t="n">
        <f aca="false">RANK(P18,$P$7:$P$33,1)+COUNTIFS($P$7:$P$33,P18,$O$7:$O$33,"&gt;"&amp;O18)</f>
        <v>7</v>
      </c>
    </row>
    <row r="19" customFormat="false" ht="19.5" hidden="false" customHeight="true" outlineLevel="0" collapsed="false">
      <c r="A19" s="88" t="n">
        <v>13</v>
      </c>
      <c r="B19" s="89" t="str">
        <f aca="false">TABELA!H13</f>
        <v>BOJAN GOVEDARICA</v>
      </c>
      <c r="C19" s="89"/>
      <c r="D19" s="89"/>
      <c r="E19" s="89"/>
      <c r="F19" s="90" t="str">
        <f aca="false">TABELA!B13</f>
        <v>SRK TARA - MOJKOVAC</v>
      </c>
      <c r="G19" s="90"/>
      <c r="H19" s="90"/>
      <c r="I19" s="91" t="n">
        <f aca="false">'GRUPA II'!I36</f>
        <v>620</v>
      </c>
      <c r="J19" s="92" t="n">
        <f aca="false">'GRUPA II'!I37</f>
        <v>9</v>
      </c>
      <c r="K19" s="91" t="n">
        <f aca="false">'GRUPA II'!I80</f>
        <v>640</v>
      </c>
      <c r="L19" s="92" t="n">
        <f aca="false">'GRUPA II'!I81</f>
        <v>3</v>
      </c>
      <c r="M19" s="91" t="n">
        <f aca="false">'GRUPA II'!I124</f>
        <v>0</v>
      </c>
      <c r="N19" s="92" t="n">
        <f aca="false">'GRUPA II'!I126</f>
        <v>9</v>
      </c>
      <c r="O19" s="93" t="n">
        <f aca="false">(I19+K19+M19)</f>
        <v>1260</v>
      </c>
      <c r="P19" s="94" t="n">
        <f aca="false">(J19+L19+N19)</f>
        <v>21</v>
      </c>
      <c r="Q19" s="95" t="n">
        <f aca="false">RANK(P19,$P$7:$P$33,1)+COUNTIFS($P$7:$P$33,P19,$O$7:$O$33,"&gt;"&amp;O19)</f>
        <v>19</v>
      </c>
    </row>
    <row r="20" customFormat="false" ht="19.5" hidden="false" customHeight="true" outlineLevel="0" collapsed="false">
      <c r="A20" s="88" t="n">
        <v>14</v>
      </c>
      <c r="B20" s="89" t="str">
        <f aca="false">TABELA!H14</f>
        <v>BOGDAN MARKOVIĆ</v>
      </c>
      <c r="C20" s="89"/>
      <c r="D20" s="89"/>
      <c r="E20" s="89"/>
      <c r="F20" s="90" t="str">
        <f aca="false">TABELA!B14</f>
        <v>SRFFK MANIRO - KOLAŠIN</v>
      </c>
      <c r="G20" s="90"/>
      <c r="H20" s="90"/>
      <c r="I20" s="91" t="n">
        <f aca="false">'GRUPA II'!K36</f>
        <v>1920</v>
      </c>
      <c r="J20" s="92" t="n">
        <f aca="false">'GRUPA II'!K37</f>
        <v>4</v>
      </c>
      <c r="K20" s="91" t="n">
        <f aca="false">'GRUPA II'!K80</f>
        <v>640</v>
      </c>
      <c r="L20" s="92" t="n">
        <f aca="false">'GRUPA II'!K81</f>
        <v>3</v>
      </c>
      <c r="M20" s="91" t="n">
        <f aca="false">'GRUPA II'!K124</f>
        <v>0</v>
      </c>
      <c r="N20" s="92" t="n">
        <f aca="false">'GRUPA II'!K126</f>
        <v>9</v>
      </c>
      <c r="O20" s="93" t="n">
        <f aca="false">(I20+K20+M20)</f>
        <v>2560</v>
      </c>
      <c r="P20" s="94" t="n">
        <f aca="false">(J20+L20+N20)</f>
        <v>16</v>
      </c>
      <c r="Q20" s="95" t="n">
        <f aca="false">RANK(P20,$P$7:$P$33,1)+COUNTIFS($P$7:$P$33,P20,$O$7:$O$33,"&gt;"&amp;O20)</f>
        <v>13</v>
      </c>
    </row>
    <row r="21" customFormat="false" ht="19.5" hidden="false" customHeight="true" outlineLevel="0" collapsed="false">
      <c r="A21" s="88" t="n">
        <v>15</v>
      </c>
      <c r="B21" s="89" t="str">
        <f aca="false">TABELA!H15</f>
        <v>BALŠA FUŠTIĆ</v>
      </c>
      <c r="C21" s="89"/>
      <c r="D21" s="89"/>
      <c r="E21" s="89"/>
      <c r="F21" s="90" t="str">
        <f aca="false">TABELA!B15</f>
        <v>SRFFK RAVNJAK - MOJKOVAC</v>
      </c>
      <c r="G21" s="90"/>
      <c r="H21" s="90"/>
      <c r="I21" s="91" t="n">
        <f aca="false">'GRUPA II'!M36</f>
        <v>2740</v>
      </c>
      <c r="J21" s="92" t="n">
        <f aca="false">'GRUPA II'!M37</f>
        <v>3</v>
      </c>
      <c r="K21" s="91" t="n">
        <f aca="false">'GRUPA II'!M80</f>
        <v>640</v>
      </c>
      <c r="L21" s="92" t="n">
        <f aca="false">'GRUPA II'!M81</f>
        <v>3</v>
      </c>
      <c r="M21" s="91" t="n">
        <f aca="false">'GRUPA II'!M124</f>
        <v>760</v>
      </c>
      <c r="N21" s="92" t="n">
        <f aca="false">'GRUPA II'!M126</f>
        <v>4</v>
      </c>
      <c r="O21" s="93" t="n">
        <f aca="false">(I21+K21+M21)</f>
        <v>4140</v>
      </c>
      <c r="P21" s="94" t="n">
        <f aca="false">(J21+L21+N21)</f>
        <v>10</v>
      </c>
      <c r="Q21" s="95" t="n">
        <f aca="false">RANK(P21,$P$7:$P$33,1)+COUNTIFS($P$7:$P$33,P21,$O$7:$O$33,"&gt;"&amp;O21)</f>
        <v>6</v>
      </c>
    </row>
    <row r="22" customFormat="false" ht="19.5" hidden="false" customHeight="true" outlineLevel="0" collapsed="false">
      <c r="A22" s="88" t="n">
        <v>16</v>
      </c>
      <c r="B22" s="89" t="str">
        <f aca="false">TABELA!H16</f>
        <v>RADULE MIĆOVIĆ</v>
      </c>
      <c r="C22" s="89"/>
      <c r="D22" s="89"/>
      <c r="E22" s="89"/>
      <c r="F22" s="90" t="str">
        <f aca="false">TABELA!B16</f>
        <v>SRK LIM - BERANE</v>
      </c>
      <c r="G22" s="90"/>
      <c r="H22" s="90"/>
      <c r="I22" s="91" t="n">
        <f aca="false">'GRUPA II'!O36</f>
        <v>680</v>
      </c>
      <c r="J22" s="92" t="n">
        <f aca="false">'GRUPA II'!O37</f>
        <v>7</v>
      </c>
      <c r="K22" s="91" t="n">
        <f aca="false">'GRUPA II'!O80</f>
        <v>2640</v>
      </c>
      <c r="L22" s="92" t="n">
        <f aca="false">'GRUPA II'!O81</f>
        <v>1</v>
      </c>
      <c r="M22" s="91" t="n">
        <f aca="false">'GRUPA II'!O124</f>
        <v>1280</v>
      </c>
      <c r="N22" s="92" t="n">
        <f aca="false">'GRUPA II'!O126</f>
        <v>2</v>
      </c>
      <c r="O22" s="93" t="n">
        <f aca="false">(I22+K22+M22)</f>
        <v>4600</v>
      </c>
      <c r="P22" s="94" t="n">
        <f aca="false">(J22+L22+N22)</f>
        <v>10</v>
      </c>
      <c r="Q22" s="95" t="n">
        <f aca="false">RANK(P22,$P$7:$P$33,1)+COUNTIFS($P$7:$P$33,P22,$O$7:$O$33,"&gt;"&amp;O22)</f>
        <v>5</v>
      </c>
    </row>
    <row r="23" customFormat="false" ht="19.5" hidden="false" customHeight="true" outlineLevel="0" collapsed="false">
      <c r="A23" s="88" t="n">
        <v>17</v>
      </c>
      <c r="B23" s="89" t="str">
        <f aca="false">TABELA!H17</f>
        <v>MEHMED DŽIDIĆ</v>
      </c>
      <c r="C23" s="89"/>
      <c r="D23" s="89"/>
      <c r="E23" s="89"/>
      <c r="F23" s="90" t="str">
        <f aca="false">TABELA!B17</f>
        <v>SRK LIPLJEN - PLJEVLJA</v>
      </c>
      <c r="G23" s="90"/>
      <c r="H23" s="90"/>
      <c r="I23" s="91" t="n">
        <f aca="false">'GRUPA II'!Q36</f>
        <v>1920</v>
      </c>
      <c r="J23" s="92" t="n">
        <f aca="false">'GRUPA II'!Q37</f>
        <v>4</v>
      </c>
      <c r="K23" s="91" t="n">
        <f aca="false">'GRUPA II'!Q80</f>
        <v>540</v>
      </c>
      <c r="L23" s="92" t="n">
        <f aca="false">'GRUPA II'!Q81</f>
        <v>7</v>
      </c>
      <c r="M23" s="91" t="n">
        <f aca="false">'GRUPA II'!Q124</f>
        <v>0</v>
      </c>
      <c r="N23" s="92" t="n">
        <f aca="false">'GRUPA II'!Q126</f>
        <v>9</v>
      </c>
      <c r="O23" s="93" t="n">
        <f aca="false">(I23+K23+M23)</f>
        <v>2460</v>
      </c>
      <c r="P23" s="94" t="n">
        <f aca="false">(J23+L23+N23)</f>
        <v>20</v>
      </c>
      <c r="Q23" s="95" t="n">
        <f aca="false">RANK(P23,$P$7:$P$33,1)+COUNTIFS($P$7:$P$33,P23,$O$7:$O$33,"&gt;"&amp;O23)</f>
        <v>18</v>
      </c>
    </row>
    <row r="24" customFormat="false" ht="19.5" hidden="false" customHeight="true" outlineLevel="0" collapsed="false">
      <c r="A24" s="88" t="n">
        <v>18</v>
      </c>
      <c r="B24" s="89" t="str">
        <f aca="false">TABELA!H18</f>
        <v>ORHAN BAŠIĆ</v>
      </c>
      <c r="C24" s="89"/>
      <c r="D24" s="89"/>
      <c r="E24" s="89"/>
      <c r="F24" s="90" t="str">
        <f aca="false">TABELA!B18</f>
        <v>SRK PLAVSKO JEZERO</v>
      </c>
      <c r="G24" s="90"/>
      <c r="H24" s="90"/>
      <c r="I24" s="91" t="n">
        <f aca="false">'GRUPA II'!S36</f>
        <v>1320</v>
      </c>
      <c r="J24" s="92" t="n">
        <f aca="false">'GRUPA II'!S37</f>
        <v>6</v>
      </c>
      <c r="K24" s="91" t="n">
        <f aca="false">'GRUPA II'!S80</f>
        <v>0</v>
      </c>
      <c r="L24" s="92" t="n">
        <f aca="false">'GRUPA II'!S81</f>
        <v>9</v>
      </c>
      <c r="M24" s="91" t="n">
        <f aca="false">'GRUPA II'!S124</f>
        <v>0</v>
      </c>
      <c r="N24" s="92" t="n">
        <f aca="false">'GRUPA II'!S126</f>
        <v>9</v>
      </c>
      <c r="O24" s="93" t="n">
        <f aca="false">(I24+K24+M24)</f>
        <v>1320</v>
      </c>
      <c r="P24" s="94" t="n">
        <f aca="false">(J24+L24+N24)</f>
        <v>24</v>
      </c>
      <c r="Q24" s="95" t="n">
        <f aca="false">RANK(P24,$P$7:$P$33,1)+COUNTIFS($P$7:$P$33,P24,$O$7:$O$33,"&gt;"&amp;O24)</f>
        <v>24</v>
      </c>
    </row>
    <row r="25" customFormat="false" ht="19.5" hidden="false" customHeight="true" outlineLevel="0" collapsed="false">
      <c r="A25" s="88" t="n">
        <v>19</v>
      </c>
      <c r="B25" s="89" t="str">
        <f aca="false">TABELA!K10</f>
        <v>NIKOLA TREBJEŠANIN</v>
      </c>
      <c r="C25" s="89"/>
      <c r="D25" s="89"/>
      <c r="E25" s="89"/>
      <c r="F25" s="90" t="str">
        <f aca="false">TABELA!B10</f>
        <v>SRK GORŠTAK - KOLAŠIN</v>
      </c>
      <c r="G25" s="90"/>
      <c r="H25" s="90"/>
      <c r="I25" s="91" t="n">
        <f aca="false">'GRUPA III'!C36</f>
        <v>1960</v>
      </c>
      <c r="J25" s="92" t="n">
        <f aca="false">'GRUPA III'!C37</f>
        <v>3</v>
      </c>
      <c r="K25" s="91" t="n">
        <f aca="false">'GRUPA III'!C80</f>
        <v>0</v>
      </c>
      <c r="L25" s="92" t="n">
        <f aca="false">'GRUPA III'!C81</f>
        <v>9</v>
      </c>
      <c r="M25" s="91" t="n">
        <f aca="false">'GRUPA III'!C124</f>
        <v>1380</v>
      </c>
      <c r="N25" s="92" t="n">
        <f aca="false">'GRUPA III'!C125</f>
        <v>1</v>
      </c>
      <c r="O25" s="93" t="n">
        <f aca="false">(I25+K25+M25)</f>
        <v>3340</v>
      </c>
      <c r="P25" s="94" t="n">
        <f aca="false">(J25+L25+N25)</f>
        <v>13</v>
      </c>
      <c r="Q25" s="95" t="n">
        <f aca="false">RANK(P25,$P$7:$P$33,1)+COUNTIFS($P$7:$P$33,P25,$O$7:$O$33,"&gt;"&amp;O25)</f>
        <v>9</v>
      </c>
    </row>
    <row r="26" customFormat="false" ht="19.5" hidden="false" customHeight="true" outlineLevel="0" collapsed="false">
      <c r="A26" s="88" t="n">
        <v>20</v>
      </c>
      <c r="B26" s="89" t="str">
        <f aca="false">TABELA!K11</f>
        <v>NIKOLA POPOVIĆ</v>
      </c>
      <c r="C26" s="89"/>
      <c r="D26" s="89"/>
      <c r="E26" s="89"/>
      <c r="F26" s="90" t="str">
        <f aca="false">TABELA!B11</f>
        <v>SRK KOLAŠIN</v>
      </c>
      <c r="G26" s="90"/>
      <c r="H26" s="90"/>
      <c r="I26" s="91" t="n">
        <f aca="false">'GRUPA III'!E36</f>
        <v>1160</v>
      </c>
      <c r="J26" s="92" t="n">
        <f aca="false">'GRUPA III'!E37</f>
        <v>6</v>
      </c>
      <c r="K26" s="91" t="n">
        <f aca="false">'GRUPA III'!E80</f>
        <v>0</v>
      </c>
      <c r="L26" s="92" t="n">
        <f aca="false">'GRUPA III'!E81</f>
        <v>9</v>
      </c>
      <c r="M26" s="91" t="n">
        <f aca="false">'GRUPA III'!E124</f>
        <v>0</v>
      </c>
      <c r="N26" s="92" t="n">
        <f aca="false">'GRUPA III'!E125</f>
        <v>9</v>
      </c>
      <c r="O26" s="93" t="n">
        <f aca="false">(I26+K26+M26)</f>
        <v>1160</v>
      </c>
      <c r="P26" s="94" t="n">
        <f aca="false">(J26+L26+N26)</f>
        <v>24</v>
      </c>
      <c r="Q26" s="95" t="n">
        <f aca="false">RANK(P26,$P$7:$P$33,1)+COUNTIFS($P$7:$P$33,P26,$O$7:$O$33,"&gt;"&amp;O26)</f>
        <v>25</v>
      </c>
    </row>
    <row r="27" customFormat="false" ht="19.5" hidden="false" customHeight="true" outlineLevel="0" collapsed="false">
      <c r="A27" s="88" t="n">
        <v>21</v>
      </c>
      <c r="B27" s="89" t="str">
        <f aca="false">TABELA!K12</f>
        <v>MARKO BAKIĆ</v>
      </c>
      <c r="C27" s="89"/>
      <c r="D27" s="89"/>
      <c r="E27" s="89"/>
      <c r="F27" s="90" t="str">
        <f aca="false">TABELA!B12</f>
        <v>SRK VODENE LISICE</v>
      </c>
      <c r="G27" s="90"/>
      <c r="H27" s="90"/>
      <c r="I27" s="91" t="n">
        <f aca="false">'GRUPA III'!G36</f>
        <v>1180</v>
      </c>
      <c r="J27" s="92" t="n">
        <f aca="false">'GRUPA III'!G37</f>
        <v>5</v>
      </c>
      <c r="K27" s="91" t="n">
        <f aca="false">'GRUPA III'!G80</f>
        <v>640</v>
      </c>
      <c r="L27" s="92" t="n">
        <f aca="false">'GRUPA III'!G81</f>
        <v>2</v>
      </c>
      <c r="M27" s="91" t="n">
        <f aca="false">'GRUPA III'!G124</f>
        <v>0</v>
      </c>
      <c r="N27" s="92" t="n">
        <f aca="false">'GRUPA III'!G125</f>
        <v>9</v>
      </c>
      <c r="O27" s="93" t="n">
        <f aca="false">(I27+K27+M27)</f>
        <v>1820</v>
      </c>
      <c r="P27" s="94" t="n">
        <f aca="false">(J27+L27+N27)</f>
        <v>16</v>
      </c>
      <c r="Q27" s="95" t="n">
        <f aca="false">RANK(P27,$P$7:$P$33,1)+COUNTIFS($P$7:$P$33,P27,$O$7:$O$33,"&gt;"&amp;O27)</f>
        <v>16</v>
      </c>
    </row>
    <row r="28" customFormat="false" ht="19.5" hidden="false" customHeight="true" outlineLevel="0" collapsed="false">
      <c r="A28" s="88" t="n">
        <v>22</v>
      </c>
      <c r="B28" s="89" t="str">
        <f aca="false">TABELA!K13</f>
        <v>BOGDAN GOVEDARICA</v>
      </c>
      <c r="C28" s="89"/>
      <c r="D28" s="89"/>
      <c r="E28" s="89"/>
      <c r="F28" s="90" t="str">
        <f aca="false">TABELA!B13</f>
        <v>SRK TARA - MOJKOVAC</v>
      </c>
      <c r="G28" s="90"/>
      <c r="H28" s="90"/>
      <c r="I28" s="91" t="n">
        <f aca="false">'GRUPA III'!I36</f>
        <v>2160</v>
      </c>
      <c r="J28" s="92" t="n">
        <f aca="false">'GRUPA III'!I37</f>
        <v>2</v>
      </c>
      <c r="K28" s="91" t="n">
        <f aca="false">'GRUPA III'!I80</f>
        <v>600</v>
      </c>
      <c r="L28" s="92" t="n">
        <f aca="false">'GRUPA III'!I81</f>
        <v>3</v>
      </c>
      <c r="M28" s="91" t="n">
        <f aca="false">'GRUPA III'!I124</f>
        <v>1300</v>
      </c>
      <c r="N28" s="92" t="n">
        <f aca="false">'GRUPA III'!I125</f>
        <v>2</v>
      </c>
      <c r="O28" s="93" t="n">
        <f aca="false">(I28+K28+M28)</f>
        <v>4060</v>
      </c>
      <c r="P28" s="94" t="n">
        <f aca="false">(J28+L28+N28)</f>
        <v>7</v>
      </c>
      <c r="Q28" s="95" t="n">
        <f aca="false">RANK(P28,$P$7:$P$33,1)+COUNTIFS($P$7:$P$33,P28,$O$7:$O$33,"&gt;"&amp;O28)</f>
        <v>3</v>
      </c>
    </row>
    <row r="29" customFormat="false" ht="19.5" hidden="false" customHeight="true" outlineLevel="0" collapsed="false">
      <c r="A29" s="88" t="n">
        <v>23</v>
      </c>
      <c r="B29" s="89" t="str">
        <f aca="false">TABELA!K14</f>
        <v>GORAN OBRENOVIĆ</v>
      </c>
      <c r="C29" s="89"/>
      <c r="D29" s="89"/>
      <c r="E29" s="89"/>
      <c r="F29" s="90" t="str">
        <f aca="false">TABELA!B14</f>
        <v>SRFFK MANIRO - KOLAŠIN</v>
      </c>
      <c r="G29" s="90"/>
      <c r="H29" s="90"/>
      <c r="I29" s="91" t="n">
        <f aca="false">'GRUPA III'!K36</f>
        <v>3820</v>
      </c>
      <c r="J29" s="92" t="n">
        <f aca="false">'GRUPA III'!K37</f>
        <v>1</v>
      </c>
      <c r="K29" s="91" t="n">
        <f aca="false">'GRUPA III'!K80</f>
        <v>840</v>
      </c>
      <c r="L29" s="92" t="n">
        <f aca="false">'GRUPA III'!K81</f>
        <v>1</v>
      </c>
      <c r="M29" s="91" t="n">
        <f aca="false">'GRUPA III'!K124</f>
        <v>0</v>
      </c>
      <c r="N29" s="92" t="n">
        <f aca="false">'GRUPA III'!K125</f>
        <v>9</v>
      </c>
      <c r="O29" s="93" t="n">
        <f aca="false">(I29+K29+M29)</f>
        <v>4660</v>
      </c>
      <c r="P29" s="94" t="n">
        <f aca="false">(J29+L29+N29)</f>
        <v>11</v>
      </c>
      <c r="Q29" s="95" t="n">
        <f aca="false">RANK(P29,$P$7:$P$33,1)+COUNTIFS($P$7:$P$33,P29,$O$7:$O$33,"&gt;"&amp;O29)</f>
        <v>8</v>
      </c>
    </row>
    <row r="30" customFormat="false" ht="19.5" hidden="false" customHeight="true" outlineLevel="0" collapsed="false">
      <c r="A30" s="88" t="n">
        <v>24</v>
      </c>
      <c r="B30" s="89" t="str">
        <f aca="false">TABELA!K15</f>
        <v>MILAN FUŠTIĆ</v>
      </c>
      <c r="C30" s="89"/>
      <c r="D30" s="89"/>
      <c r="E30" s="89"/>
      <c r="F30" s="90" t="str">
        <f aca="false">TABELA!B15</f>
        <v>SRFFK RAVNJAK - MOJKOVAC</v>
      </c>
      <c r="G30" s="90"/>
      <c r="H30" s="90"/>
      <c r="I30" s="91" t="n">
        <f aca="false">'GRUPA III'!M36</f>
        <v>1680</v>
      </c>
      <c r="J30" s="92" t="n">
        <f aca="false">'GRUPA III'!M37</f>
        <v>4</v>
      </c>
      <c r="K30" s="91" t="n">
        <f aca="false">'GRUPA III'!M80</f>
        <v>0</v>
      </c>
      <c r="L30" s="92" t="n">
        <f aca="false">'GRUPA III'!M81</f>
        <v>9</v>
      </c>
      <c r="M30" s="91" t="n">
        <f aca="false">'GRUPA III'!M124</f>
        <v>660</v>
      </c>
      <c r="N30" s="92" t="n">
        <f aca="false">'GRUPA III'!M125</f>
        <v>3</v>
      </c>
      <c r="O30" s="93" t="n">
        <f aca="false">(I30+K30+M30)</f>
        <v>2340</v>
      </c>
      <c r="P30" s="94" t="n">
        <f aca="false">(J30+L30+N30)</f>
        <v>16</v>
      </c>
      <c r="Q30" s="95" t="n">
        <f aca="false">RANK(P30,$P$7:$P$33,1)+COUNTIFS($P$7:$P$33,P30,$O$7:$O$33,"&gt;"&amp;O30)</f>
        <v>15</v>
      </c>
    </row>
    <row r="31" customFormat="false" ht="19.5" hidden="false" customHeight="true" outlineLevel="0" collapsed="false">
      <c r="A31" s="88" t="n">
        <v>25</v>
      </c>
      <c r="B31" s="89" t="str">
        <f aca="false">TABELA!K16</f>
        <v>BOŠKO VULEVIĆ</v>
      </c>
      <c r="C31" s="89"/>
      <c r="D31" s="89"/>
      <c r="E31" s="89"/>
      <c r="F31" s="90" t="str">
        <f aca="false">TABELA!B16</f>
        <v>SRK LIM - BERANE</v>
      </c>
      <c r="G31" s="90"/>
      <c r="H31" s="90"/>
      <c r="I31" s="91" t="n">
        <f aca="false">'GRUPA III'!O36</f>
        <v>0</v>
      </c>
      <c r="J31" s="92" t="n">
        <f aca="false">'GRUPA III'!O37</f>
        <v>9</v>
      </c>
      <c r="K31" s="91" t="n">
        <f aca="false">'GRUPA III'!O80</f>
        <v>540</v>
      </c>
      <c r="L31" s="92" t="n">
        <f aca="false">'GRUPA III'!O81</f>
        <v>4</v>
      </c>
      <c r="M31" s="91" t="n">
        <f aca="false">'GRUPA III'!O124</f>
        <v>0</v>
      </c>
      <c r="N31" s="92" t="n">
        <f aca="false">'GRUPA III'!O125</f>
        <v>9</v>
      </c>
      <c r="O31" s="93" t="n">
        <f aca="false">(I31+K31+M31)</f>
        <v>540</v>
      </c>
      <c r="P31" s="94" t="n">
        <f aca="false">(J31+L31+N31)</f>
        <v>22</v>
      </c>
      <c r="Q31" s="95" t="n">
        <f aca="false">RANK(P31,$P$7:$P$33,1)+COUNTIFS($P$7:$P$33,P31,$O$7:$O$33,"&gt;"&amp;O31)</f>
        <v>22</v>
      </c>
    </row>
    <row r="32" customFormat="false" ht="19.5" hidden="false" customHeight="true" outlineLevel="0" collapsed="false">
      <c r="A32" s="96" t="n">
        <v>26</v>
      </c>
      <c r="B32" s="89" t="str">
        <f aca="false">TABELA!K17</f>
        <v>MUMIN HEKALO</v>
      </c>
      <c r="C32" s="89"/>
      <c r="D32" s="89"/>
      <c r="E32" s="89"/>
      <c r="F32" s="88" t="str">
        <f aca="false">TABELA!B17</f>
        <v>SRK LIPLJEN - PLJEVLJA</v>
      </c>
      <c r="G32" s="88"/>
      <c r="H32" s="88"/>
      <c r="I32" s="91" t="n">
        <f aca="false">'GRUPA III'!Q36</f>
        <v>0</v>
      </c>
      <c r="J32" s="92" t="n">
        <f aca="false">'GRUPA III'!Q37</f>
        <v>9</v>
      </c>
      <c r="K32" s="91" t="n">
        <f aca="false">'GRUPA III'!Q80</f>
        <v>0</v>
      </c>
      <c r="L32" s="92" t="n">
        <f aca="false">'GRUPA III'!Q81</f>
        <v>9</v>
      </c>
      <c r="M32" s="91" t="n">
        <f aca="false">'GRUPA III'!Q124</f>
        <v>640</v>
      </c>
      <c r="N32" s="92" t="n">
        <f aca="false">'GRUPA III'!Q125</f>
        <v>4</v>
      </c>
      <c r="O32" s="93" t="n">
        <f aca="false">(I32+K32+M32)</f>
        <v>640</v>
      </c>
      <c r="P32" s="94" t="n">
        <f aca="false">(J32+L32+N32)</f>
        <v>22</v>
      </c>
      <c r="Q32" s="95" t="n">
        <f aca="false">RANK(P32,$P$7:$P$33,1)+COUNTIFS($P$7:$P$33,P32,$O$7:$O$33,"&gt;"&amp;O32)</f>
        <v>21</v>
      </c>
    </row>
    <row r="33" customFormat="false" ht="17.35" hidden="false" customHeight="false" outlineLevel="0" collapsed="false">
      <c r="A33" s="97" t="n">
        <v>27</v>
      </c>
      <c r="B33" s="98" t="str">
        <f aca="false">TABELA!K18</f>
        <v>OMAR BAŠIĆ</v>
      </c>
      <c r="C33" s="98"/>
      <c r="D33" s="98"/>
      <c r="E33" s="98"/>
      <c r="F33" s="99" t="str">
        <f aca="false">TABELA!B18</f>
        <v>SRK PLAVSKO JEZERO</v>
      </c>
      <c r="G33" s="99"/>
      <c r="H33" s="99"/>
      <c r="I33" s="100" t="n">
        <f aca="false">'GRUPA III'!S36</f>
        <v>640</v>
      </c>
      <c r="J33" s="101" t="n">
        <f aca="false">'GRUPA III'!S37</f>
        <v>7</v>
      </c>
      <c r="K33" s="100" t="n">
        <f aca="false">'GRUPA III'!S80</f>
        <v>0</v>
      </c>
      <c r="L33" s="101" t="n">
        <f aca="false">'GRUPA III'!S81</f>
        <v>9</v>
      </c>
      <c r="M33" s="100" t="n">
        <f aca="false">'GRUPA III'!S124</f>
        <v>0</v>
      </c>
      <c r="N33" s="101" t="n">
        <f aca="false">'GRUPA III'!S125</f>
        <v>9</v>
      </c>
      <c r="O33" s="102" t="n">
        <f aca="false">(I33+K33+M33)</f>
        <v>640</v>
      </c>
      <c r="P33" s="103" t="n">
        <f aca="false">(J33+L33+N33)</f>
        <v>25</v>
      </c>
      <c r="Q33" s="95" t="n">
        <f aca="false">RANK(P33,$P$7:$P$33,1)+COUNTIFS($P$7:$P$33,P33,$O$7:$O$33,"&gt;"&amp;O33)</f>
        <v>26</v>
      </c>
    </row>
    <row r="34" customFormat="false" ht="15" hidden="false" customHeight="false" outlineLevel="0" collapsed="false">
      <c r="I34" s="40"/>
      <c r="J34" s="40"/>
    </row>
    <row r="35" customFormat="false" ht="15" hidden="false" customHeight="false" outlineLevel="0" collapsed="false">
      <c r="I35" s="40"/>
      <c r="J35" s="40"/>
    </row>
  </sheetData>
  <mergeCells count="72">
    <mergeCell ref="A2:Q3"/>
    <mergeCell ref="A4:A6"/>
    <mergeCell ref="B4:E6"/>
    <mergeCell ref="F4:H6"/>
    <mergeCell ref="I4:J4"/>
    <mergeCell ref="K4:L4"/>
    <mergeCell ref="M4:N4"/>
    <mergeCell ref="O4:P4"/>
    <mergeCell ref="Q4:Q6"/>
    <mergeCell ref="I5:I6"/>
    <mergeCell ref="J5:J6"/>
    <mergeCell ref="K5:K6"/>
    <mergeCell ref="L5:L6"/>
    <mergeCell ref="M5:M6"/>
    <mergeCell ref="N5:N6"/>
    <mergeCell ref="O5:O6"/>
    <mergeCell ref="P5:P6"/>
    <mergeCell ref="B7:E7"/>
    <mergeCell ref="F7:H7"/>
    <mergeCell ref="B8:E8"/>
    <mergeCell ref="F8:H8"/>
    <mergeCell ref="B9:E9"/>
    <mergeCell ref="F9:H9"/>
    <mergeCell ref="B10:E10"/>
    <mergeCell ref="F10:H10"/>
    <mergeCell ref="B11:E11"/>
    <mergeCell ref="F11:H11"/>
    <mergeCell ref="B12:E12"/>
    <mergeCell ref="F12:H12"/>
    <mergeCell ref="B13:E13"/>
    <mergeCell ref="F13:H13"/>
    <mergeCell ref="B14:E14"/>
    <mergeCell ref="F14:H14"/>
    <mergeCell ref="B15:E15"/>
    <mergeCell ref="F15:H15"/>
    <mergeCell ref="B16:E16"/>
    <mergeCell ref="F16:H16"/>
    <mergeCell ref="B17:E17"/>
    <mergeCell ref="F17:H17"/>
    <mergeCell ref="B18:E18"/>
    <mergeCell ref="F18:H18"/>
    <mergeCell ref="B19:E19"/>
    <mergeCell ref="F19:H19"/>
    <mergeCell ref="B20:E20"/>
    <mergeCell ref="F20:H20"/>
    <mergeCell ref="B21:E21"/>
    <mergeCell ref="F21:H21"/>
    <mergeCell ref="B22:E22"/>
    <mergeCell ref="F22:H22"/>
    <mergeCell ref="B23:E23"/>
    <mergeCell ref="F23:H23"/>
    <mergeCell ref="B24:E24"/>
    <mergeCell ref="F24:H24"/>
    <mergeCell ref="B25:E25"/>
    <mergeCell ref="F25:H25"/>
    <mergeCell ref="B26:E26"/>
    <mergeCell ref="F26:H26"/>
    <mergeCell ref="B27:E27"/>
    <mergeCell ref="F27:H27"/>
    <mergeCell ref="B28:E28"/>
    <mergeCell ref="F28:H28"/>
    <mergeCell ref="B29:E29"/>
    <mergeCell ref="F29:H29"/>
    <mergeCell ref="B30:E30"/>
    <mergeCell ref="F30:H30"/>
    <mergeCell ref="B31:E31"/>
    <mergeCell ref="F31:H31"/>
    <mergeCell ref="B32:E32"/>
    <mergeCell ref="F32:H32"/>
    <mergeCell ref="B33:E33"/>
    <mergeCell ref="F33:H33"/>
    <mergeCell ref="I34:J3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7" activeCellId="0" sqref="D17"/>
    </sheetView>
  </sheetViews>
  <sheetFormatPr defaultColWidth="8.54296875" defaultRowHeight="15" customHeight="false" zeroHeight="false" outlineLevelRow="0" outlineLevelCol="0"/>
  <cols>
    <col collapsed="false" customWidth="true" hidden="false" outlineLevel="0" max="2" min="2" style="0" width="26.15"/>
    <col collapsed="false" customWidth="true" hidden="false" outlineLevel="0" max="3" min="3" style="0" width="18.29"/>
    <col collapsed="false" customWidth="true" hidden="false" outlineLevel="0" max="5" min="4" style="0" width="19"/>
    <col collapsed="false" customWidth="true" hidden="false" outlineLevel="0" max="7" min="6" style="0" width="18.42"/>
    <col collapsed="false" customWidth="true" hidden="false" outlineLevel="0" max="9" min="8" style="0" width="19.42"/>
    <col collapsed="false" customWidth="true" hidden="false" outlineLevel="0" max="10" min="10" style="0" width="12.29"/>
    <col collapsed="false" customWidth="true" hidden="false" outlineLevel="0" max="11" min="11" style="0" width="15.71"/>
  </cols>
  <sheetData>
    <row r="2" customFormat="false" ht="35.25" hidden="false" customHeight="true" outlineLevel="0" collapsed="false">
      <c r="A2" s="104" t="s">
        <v>77</v>
      </c>
      <c r="B2" s="104"/>
      <c r="C2" s="104"/>
      <c r="D2" s="104"/>
      <c r="E2" s="104"/>
      <c r="F2" s="104"/>
      <c r="G2" s="104"/>
      <c r="H2" s="104"/>
      <c r="I2" s="104"/>
      <c r="J2" s="104"/>
      <c r="K2" s="104"/>
    </row>
    <row r="3" customFormat="false" ht="74.25" hidden="false" customHeight="true" outlineLevel="0" collapsed="false">
      <c r="A3" s="105" t="s">
        <v>49</v>
      </c>
      <c r="B3" s="106" t="s">
        <v>78</v>
      </c>
      <c r="C3" s="107" t="s">
        <v>79</v>
      </c>
      <c r="D3" s="107" t="s">
        <v>80</v>
      </c>
      <c r="E3" s="107" t="s">
        <v>81</v>
      </c>
      <c r="F3" s="107" t="s">
        <v>82</v>
      </c>
      <c r="G3" s="107" t="s">
        <v>83</v>
      </c>
      <c r="H3" s="107" t="s">
        <v>84</v>
      </c>
      <c r="I3" s="108" t="s">
        <v>53</v>
      </c>
      <c r="J3" s="109" t="s">
        <v>76</v>
      </c>
      <c r="K3" s="110" t="s">
        <v>71</v>
      </c>
    </row>
    <row r="4" customFormat="false" ht="19.5" hidden="false" customHeight="true" outlineLevel="0" collapsed="false">
      <c r="A4" s="55" t="n">
        <v>1</v>
      </c>
      <c r="B4" s="52" t="str">
        <f aca="false">TABELA!B10</f>
        <v>SRK GORŠTAK - KOLAŠIN</v>
      </c>
      <c r="C4" s="49" t="n">
        <f aca="false">POJEDINACNO!O7</f>
        <v>1240</v>
      </c>
      <c r="D4" s="49" t="n">
        <f aca="false">POJEDINACNO!P7</f>
        <v>22</v>
      </c>
      <c r="E4" s="49" t="n">
        <f aca="false">POJEDINACNO!O16</f>
        <v>5640</v>
      </c>
      <c r="F4" s="49" t="n">
        <f aca="false">POJEDINACNO!P16</f>
        <v>7</v>
      </c>
      <c r="G4" s="49" t="n">
        <f aca="false">POJEDINACNO!O25</f>
        <v>3340</v>
      </c>
      <c r="H4" s="49" t="n">
        <f aca="false">POJEDINACNO!P25</f>
        <v>13</v>
      </c>
      <c r="I4" s="50" t="n">
        <f aca="false">(C4+E4+G4)</f>
        <v>10220</v>
      </c>
      <c r="J4" s="49" t="n">
        <f aca="false">(D4+F4+H4)</f>
        <v>42</v>
      </c>
      <c r="K4" s="54" t="n">
        <f aca="false">RANK(J4,$J$4:$J$12,1)+COUNTIFS($J$4:$J$12,J4,$I$4:$I$12,"&gt;"&amp;I4)</f>
        <v>3</v>
      </c>
    </row>
    <row r="5" customFormat="false" ht="19.5" hidden="false" customHeight="true" outlineLevel="0" collapsed="false">
      <c r="A5" s="55" t="n">
        <v>2</v>
      </c>
      <c r="B5" s="52" t="str">
        <f aca="false">TABELA!B11</f>
        <v>SRK KOLAŠIN</v>
      </c>
      <c r="C5" s="49" t="n">
        <f aca="false">POJEDINACNO!O8</f>
        <v>4360</v>
      </c>
      <c r="D5" s="49" t="n">
        <f aca="false">POJEDINACNO!P8</f>
        <v>9</v>
      </c>
      <c r="E5" s="49" t="n">
        <f aca="false">POJEDINACNO!O17</f>
        <v>4960</v>
      </c>
      <c r="F5" s="49" t="n">
        <f aca="false">POJEDINACNO!P17</f>
        <v>15</v>
      </c>
      <c r="G5" s="49" t="n">
        <f aca="false">POJEDINACNO!O26</f>
        <v>1160</v>
      </c>
      <c r="H5" s="49" t="n">
        <f aca="false">POJEDINACNO!P26</f>
        <v>24</v>
      </c>
      <c r="I5" s="50" t="n">
        <f aca="false">(C5+E5+G5)</f>
        <v>10480</v>
      </c>
      <c r="J5" s="49" t="n">
        <f aca="false">(D5+F5+H5)</f>
        <v>48</v>
      </c>
      <c r="K5" s="54" t="n">
        <f aca="false">RANK(J5,$J$4:$J$12,1)+COUNTIFS($J$4:$J$12,J5,$I$4:$I$12,"&gt;"&amp;I5)</f>
        <v>5</v>
      </c>
    </row>
    <row r="6" customFormat="false" ht="19.5" hidden="false" customHeight="true" outlineLevel="0" collapsed="false">
      <c r="A6" s="55" t="n">
        <v>3</v>
      </c>
      <c r="B6" s="52" t="str">
        <f aca="false">TABELA!B12</f>
        <v>SRK VODENE LISICE</v>
      </c>
      <c r="C6" s="49" t="n">
        <f aca="false">POJEDINACNO!O9</f>
        <v>2420</v>
      </c>
      <c r="D6" s="49" t="n">
        <f aca="false">POJEDINACNO!P9</f>
        <v>16</v>
      </c>
      <c r="E6" s="49" t="n">
        <f aca="false">POJEDINACNO!O18</f>
        <v>2760</v>
      </c>
      <c r="F6" s="49" t="n">
        <f aca="false">POJEDINACNO!P18</f>
        <v>10</v>
      </c>
      <c r="G6" s="49" t="n">
        <f aca="false">POJEDINACNO!O27</f>
        <v>1820</v>
      </c>
      <c r="H6" s="49" t="n">
        <f aca="false">POJEDINACNO!P27</f>
        <v>16</v>
      </c>
      <c r="I6" s="50" t="n">
        <f aca="false">(C6+E6+G6)</f>
        <v>7000</v>
      </c>
      <c r="J6" s="49" t="n">
        <f aca="false">(D6+F6+H6)</f>
        <v>42</v>
      </c>
      <c r="K6" s="54" t="n">
        <f aca="false">RANK(J6,$J$4:$J$12,1)+COUNTIFS($J$4:$J$12,J6,$I$4:$I$12,"&gt;"&amp;I6)</f>
        <v>4</v>
      </c>
    </row>
    <row r="7" customFormat="false" ht="19.5" hidden="false" customHeight="true" outlineLevel="0" collapsed="false">
      <c r="A7" s="55" t="n">
        <v>4</v>
      </c>
      <c r="B7" s="52" t="str">
        <f aca="false">TABELA!B13</f>
        <v>SRK TARA - MOJKOVAC</v>
      </c>
      <c r="C7" s="49" t="n">
        <f aca="false">POJEDINACNO!O10</f>
        <v>640</v>
      </c>
      <c r="D7" s="49" t="n">
        <f aca="false">POJEDINACNO!P10</f>
        <v>25</v>
      </c>
      <c r="E7" s="49" t="n">
        <f aca="false">POJEDINACNO!O19</f>
        <v>1260</v>
      </c>
      <c r="F7" s="49" t="n">
        <f aca="false">POJEDINACNO!P19</f>
        <v>21</v>
      </c>
      <c r="G7" s="49" t="n">
        <f aca="false">POJEDINACNO!O28</f>
        <v>4060</v>
      </c>
      <c r="H7" s="49" t="n">
        <f aca="false">POJEDINACNO!P28</f>
        <v>7</v>
      </c>
      <c r="I7" s="50" t="n">
        <f aca="false">(C7+E7+G7)</f>
        <v>5960</v>
      </c>
      <c r="J7" s="49" t="n">
        <f aca="false">(D7+F7+H7)</f>
        <v>53</v>
      </c>
      <c r="K7" s="54" t="n">
        <f aca="false">RANK(J7,$J$4:$J$12,1)+COUNTIFS($J$4:$J$12,J7,$I$4:$I$12,"&gt;"&amp;I7)</f>
        <v>7</v>
      </c>
    </row>
    <row r="8" customFormat="false" ht="19.5" hidden="false" customHeight="true" outlineLevel="0" collapsed="false">
      <c r="A8" s="55" t="n">
        <v>5</v>
      </c>
      <c r="B8" s="52" t="str">
        <f aca="false">TABELA!B14</f>
        <v>SRFFK MANIRO - KOLAŠIN</v>
      </c>
      <c r="C8" s="49" t="n">
        <f aca="false">POJEDINACNO!O11</f>
        <v>3320</v>
      </c>
      <c r="D8" s="49" t="n">
        <f aca="false">POJEDINACNO!P11</f>
        <v>14</v>
      </c>
      <c r="E8" s="49" t="n">
        <f aca="false">POJEDINACNO!O20</f>
        <v>2560</v>
      </c>
      <c r="F8" s="49" t="n">
        <f aca="false">POJEDINACNO!P20</f>
        <v>16</v>
      </c>
      <c r="G8" s="49" t="n">
        <f aca="false">POJEDINACNO!O29</f>
        <v>4660</v>
      </c>
      <c r="H8" s="49" t="n">
        <f aca="false">POJEDINACNO!P29</f>
        <v>11</v>
      </c>
      <c r="I8" s="50" t="n">
        <f aca="false">(C8+E8+G8)</f>
        <v>10540</v>
      </c>
      <c r="J8" s="49" t="n">
        <f aca="false">(D8+F8+H8)</f>
        <v>41</v>
      </c>
      <c r="K8" s="54" t="n">
        <f aca="false">RANK(J8,$J$4:$J$12,1)+COUNTIFS($J$4:$J$12,J8,$I$4:$I$12,"&gt;"&amp;I8)</f>
        <v>2</v>
      </c>
    </row>
    <row r="9" customFormat="false" ht="19.5" hidden="false" customHeight="true" outlineLevel="0" collapsed="false">
      <c r="A9" s="55" t="n">
        <v>6</v>
      </c>
      <c r="B9" s="52" t="str">
        <f aca="false">TABELA!B15</f>
        <v>SRFFK RAVNJAK - MOJKOVAC</v>
      </c>
      <c r="C9" s="49" t="n">
        <f aca="false">POJEDINACNO!O12</f>
        <v>8660</v>
      </c>
      <c r="D9" s="49" t="n">
        <f aca="false">POJEDINACNO!P12</f>
        <v>3</v>
      </c>
      <c r="E9" s="49" t="n">
        <f aca="false">POJEDINACNO!O21</f>
        <v>4140</v>
      </c>
      <c r="F9" s="49" t="n">
        <f aca="false">POJEDINACNO!P21</f>
        <v>10</v>
      </c>
      <c r="G9" s="49" t="n">
        <f aca="false">POJEDINACNO!O30</f>
        <v>2340</v>
      </c>
      <c r="H9" s="49" t="n">
        <f aca="false">POJEDINACNO!P30</f>
        <v>16</v>
      </c>
      <c r="I9" s="50" t="n">
        <f aca="false">(C9+E9+G9)</f>
        <v>15140</v>
      </c>
      <c r="J9" s="49" t="n">
        <f aca="false">(D9+F9+H9)</f>
        <v>29</v>
      </c>
      <c r="K9" s="54" t="n">
        <f aca="false">RANK(J9,$J$4:$J$12,1)+COUNTIFS($J$4:$J$12,J9,$I$4:$I$12,"&gt;"&amp;I9)</f>
        <v>1</v>
      </c>
    </row>
    <row r="10" customFormat="false" ht="19.5" hidden="false" customHeight="true" outlineLevel="0" collapsed="false">
      <c r="A10" s="55" t="n">
        <v>7</v>
      </c>
      <c r="B10" s="52" t="str">
        <f aca="false">TABELA!B16</f>
        <v>SRK LIM - BERANE</v>
      </c>
      <c r="C10" s="49" t="n">
        <f aca="false">POJEDINACNO!O13</f>
        <v>1360</v>
      </c>
      <c r="D10" s="49" t="n">
        <f aca="false">POJEDINACNO!P13</f>
        <v>18</v>
      </c>
      <c r="E10" s="49" t="n">
        <f aca="false">POJEDINACNO!O22</f>
        <v>4600</v>
      </c>
      <c r="F10" s="49" t="n">
        <f aca="false">POJEDINACNO!P22</f>
        <v>10</v>
      </c>
      <c r="G10" s="49" t="n">
        <f aca="false">POJEDINACNO!O31</f>
        <v>540</v>
      </c>
      <c r="H10" s="49" t="n">
        <f aca="false">POJEDINACNO!P31</f>
        <v>22</v>
      </c>
      <c r="I10" s="50" t="n">
        <f aca="false">(C10+E10+G10)</f>
        <v>6500</v>
      </c>
      <c r="J10" s="49" t="n">
        <f aca="false">(D10+F10+H10)</f>
        <v>50</v>
      </c>
      <c r="K10" s="54" t="n">
        <f aca="false">RANK(J10,$J$4:$J$12,1)+COUNTIFS($J$4:$J$12,J10,$I$4:$I$12,"&gt;"&amp;I10)</f>
        <v>6</v>
      </c>
    </row>
    <row r="11" customFormat="false" ht="19.5" hidden="false" customHeight="true" outlineLevel="0" collapsed="false">
      <c r="A11" s="55" t="n">
        <v>8</v>
      </c>
      <c r="B11" s="52" t="str">
        <f aca="false">TABELA!B17</f>
        <v>SRK LIPLJEN - PLJEVLJA</v>
      </c>
      <c r="C11" s="49" t="n">
        <f aca="false">POJEDINACNO!O14</f>
        <v>2720</v>
      </c>
      <c r="D11" s="49" t="n">
        <f aca="false">POJEDINACNO!P14</f>
        <v>13</v>
      </c>
      <c r="E11" s="49" t="n">
        <f aca="false">POJEDINACNO!O23</f>
        <v>2460</v>
      </c>
      <c r="F11" s="49" t="n">
        <f aca="false">POJEDINACNO!P23</f>
        <v>20</v>
      </c>
      <c r="G11" s="49" t="n">
        <f aca="false">POJEDINACNO!O32</f>
        <v>640</v>
      </c>
      <c r="H11" s="49" t="n">
        <f aca="false">POJEDINACNO!P32</f>
        <v>22</v>
      </c>
      <c r="I11" s="50" t="n">
        <f aca="false">(C11+E11+G11)</f>
        <v>5820</v>
      </c>
      <c r="J11" s="49" t="n">
        <f aca="false">(D11+F11+H11)</f>
        <v>55</v>
      </c>
      <c r="K11" s="54" t="n">
        <f aca="false">RANK(J11,$J$4:$J$12,1)+COUNTIFS($J$4:$J$12,J11,$I$4:$I$12,"&gt;"&amp;I11)</f>
        <v>8</v>
      </c>
    </row>
    <row r="12" customFormat="false" ht="17.35" hidden="false" customHeight="false" outlineLevel="0" collapsed="false">
      <c r="A12" s="111" t="n">
        <v>9</v>
      </c>
      <c r="B12" s="112" t="str">
        <f aca="false">TABELA!B18</f>
        <v>SRK PLAVSKO JEZERO</v>
      </c>
      <c r="C12" s="113" t="n">
        <f aca="false">POJEDINACNO!O15</f>
        <v>860</v>
      </c>
      <c r="D12" s="113" t="n">
        <f aca="false">POJEDINACNO!P15</f>
        <v>23</v>
      </c>
      <c r="E12" s="113" t="n">
        <f aca="false">POJEDINACNO!O24</f>
        <v>1320</v>
      </c>
      <c r="F12" s="113" t="n">
        <f aca="false">POJEDINACNO!P24</f>
        <v>24</v>
      </c>
      <c r="G12" s="113" t="n">
        <f aca="false">POJEDINACNO!O33</f>
        <v>640</v>
      </c>
      <c r="H12" s="113" t="n">
        <f aca="false">POJEDINACNO!P33</f>
        <v>25</v>
      </c>
      <c r="I12" s="114" t="n">
        <f aca="false">(C12+E12+G12)</f>
        <v>2820</v>
      </c>
      <c r="J12" s="63" t="n">
        <f aca="false">(D12+F12+H12)</f>
        <v>72</v>
      </c>
      <c r="K12" s="115" t="n">
        <f aca="false">RANK(J12,$J$4:$J$12,1)+COUNTIFS($J$4:$J$12,J12,$I$4:$I$12,"&gt;"&amp;I12)</f>
        <v>9</v>
      </c>
    </row>
    <row r="13" customFormat="false" ht="15" hidden="false" customHeight="false" outlineLevel="0" collapsed="false">
      <c r="A13" s="4"/>
      <c r="B13" s="4"/>
      <c r="C13" s="4"/>
      <c r="D13" s="4"/>
      <c r="E13" s="4"/>
      <c r="F13" s="4"/>
      <c r="G13" s="4"/>
      <c r="H13" s="4"/>
      <c r="I13" s="4"/>
      <c r="J13" s="4"/>
      <c r="K13" s="4"/>
    </row>
    <row r="14" customFormat="false" ht="15" hidden="false" customHeight="false" outlineLevel="0" collapsed="false">
      <c r="A14" s="4"/>
      <c r="B14" s="4"/>
      <c r="C14" s="4"/>
      <c r="D14" s="4"/>
      <c r="E14" s="4"/>
      <c r="F14" s="4"/>
      <c r="G14" s="4"/>
      <c r="H14" s="4"/>
      <c r="I14" s="4"/>
      <c r="J14" s="4"/>
      <c r="K14" s="4"/>
    </row>
    <row r="15" customFormat="false" ht="29.15" hidden="false" customHeight="false" outlineLevel="0" collapsed="false">
      <c r="A15" s="4"/>
      <c r="B15" s="116" t="s">
        <v>85</v>
      </c>
      <c r="C15" s="116"/>
      <c r="D15" s="4"/>
      <c r="E15" s="4"/>
      <c r="F15" s="4"/>
      <c r="G15" s="4"/>
      <c r="H15" s="4"/>
      <c r="I15" s="4"/>
      <c r="J15" s="4"/>
      <c r="K15" s="4"/>
    </row>
    <row r="16" customFormat="false" ht="33" hidden="false" customHeight="true" outlineLevel="0" collapsed="false">
      <c r="A16" s="4"/>
      <c r="B16" s="86" t="s">
        <v>86</v>
      </c>
      <c r="C16" s="117" t="n">
        <f aca="false">SUM('GRUPA I'!C38:C40,'GRUPA I'!E38:E40,'GRUPA I'!G38:G40,'GRUPA I'!I38:I40,'GRUPA I'!K38:K40,'GRUPA I'!M38:M40,'GRUPA I'!O38:O40,'GRUPA I'!Q38:Q40,'GRUPA I'!S38:S40,'GRUPA I'!C83:C85,'GRUPA I'!E83:E85,'GRUPA I'!G83:G85,'GRUPA I'!I83:I85,'GRUPA I'!K83:K85,'GRUPA I'!M83:M85,'GRUPA I'!O83:O85,'GRUPA I'!Q83:Q85,'GRUPA I'!S83:S85,'GRUPA I'!C126:C128,'GRUPA I'!E126:E128,'GRUPA I'!F126:F128,'GRUPA I'!G126:G128,'GRUPA I'!I126:I128,'GRUPA I'!K126:K128,'GRUPA I'!M126:M128,'GRUPA I'!O126:O128,'GRUPA I'!Q126:Q128,'GRUPA I'!S126:S128,'GRUPA II'!C38:C40,'GRUPA II'!E38:E40,'GRUPA II'!G38:G40,'GRUPA II'!I38:I40,'GRUPA II'!K38:K40,'GRUPA II'!M38:M40,'GRUPA II'!O38:O40,'GRUPA II'!Q38:Q40,'GRUPA II'!S38:S40,'GRUPA II'!C82:C84,'GRUPA II'!E82:E84,'GRUPA II'!G82:G84,'GRUPA II'!I82:I84,'GRUPA II'!K82:K84,'GRUPA II'!M82:M84,'GRUPA II'!O82:O84,'GRUPA II'!Q82:Q84,'GRUPA II'!S82:S84,'GRUPA II'!C127:C129,'GRUPA II'!E127:E129,'GRUPA II'!G127:G129,'GRUPA II'!I127:I129,'GRUPA II'!K127:K129,'GRUPA II'!M127:M129,'GRUPA II'!O127:O129,'GRUPA II'!Q127:Q129,'GRUPA II'!S127:S129,'GRUPA III'!C38:C40,'GRUPA III'!E38:E40,'GRUPA III'!G38:G40,'GRUPA III'!I38:I40,'GRUPA III'!K38:K40,'GRUPA III'!M38:M40,'GRUPA III'!O38:O40,'GRUPA III'!Q38:Q40,'GRUPA III'!S38:S40,'GRUPA III'!C82:C84,'GRUPA III'!E82:E84,'GRUPA III'!G82:G84,'GRUPA III'!I82:I84,'GRUPA III'!K82:K84,'GRUPA III'!M82:M84,'GRUPA III'!O82:O84,'GRUPA III'!Q82:Q84,'GRUPA III'!S82:S84,'GRUPA III'!C126:C128,'GRUPA III'!E126:E128,'GRUPA III'!G126:G128,'GRUPA III'!I126:I128,'GRUPA III'!K126:K128,'GRUPA III'!M126:M128,'GRUPA III'!O126:O128,'GRUPA III'!Q126:Q128,'GRUPA III'!S126:S128,)</f>
        <v>112</v>
      </c>
      <c r="D16" s="4"/>
      <c r="E16" s="4"/>
      <c r="F16" s="4"/>
      <c r="G16" s="4"/>
      <c r="H16" s="4"/>
      <c r="I16" s="4"/>
      <c r="J16" s="4"/>
      <c r="K16" s="4"/>
    </row>
    <row r="17" customFormat="false" ht="41.25" hidden="false" customHeight="true" outlineLevel="0" collapsed="false">
      <c r="A17" s="4"/>
      <c r="B17" s="118" t="s">
        <v>87</v>
      </c>
      <c r="C17" s="119" t="n">
        <f aca="false">MAX('GRUPA I'!C41,'GRUPA I'!E41,'GRUPA I'!G41,'GRUPA I'!I41,'GRUPA I'!K41,'GRUPA I'!M41,'GRUPA I'!O41,'GRUPA I'!Q41,'GRUPA I'!S41,'GRUPA I'!C86,'GRUPA I'!E86,'GRUPA I'!G86,'GRUPA I'!I86,'GRUPA I'!K86,'GRUPA I'!M86,'GRUPA I'!O86,'GRUPA I'!Q86,'GRUPA I'!S86,'GRUPA I'!C129,'GRUPA I'!E129,'GRUPA I'!G129,'GRUPA I'!I129,'GRUPA I'!K129,'GRUPA I'!M129,'GRUPA I'!O129,'GRUPA I'!Q129,'GRUPA I'!S129,'GRUPA II'!C41,'GRUPA II'!E41,'GRUPA II'!G41,'GRUPA II'!I41,'GRUPA II'!K41,'GRUPA II'!M41,'GRUPA II'!O41,'GRUPA II'!Q41,'GRUPA II'!S41,'GRUPA II'!C85,'GRUPA II'!E85,'GRUPA II'!G85,'GRUPA II'!I85,'GRUPA II'!K85,'GRUPA II'!M85,'GRUPA II'!O85,'GRUPA II'!Q85,'GRUPA II'!S85,'GRUPA II'!C130,'GRUPA II'!E130,'GRUPA II'!G130,'GRUPA II'!I130,'GRUPA II'!K130,'GRUPA II'!M130,'GRUPA II'!O130,'GRUPA II'!Q130,'GRUPA II'!S130,'GRUPA III'!C41,'GRUPA III'!E41,'GRUPA III'!G41,'GRUPA III'!I41,'GRUPA III'!K41,'GRUPA III'!M41,'GRUPA III'!O41,'GRUPA III'!Q41,'GRUPA III'!S41,'GRUPA III'!C85,'GRUPA III'!E85,'GRUPA III'!G85,'GRUPA III'!I85,'GRUPA III'!K85,'GRUPA III'!M85,'GRUPA III'!O85,'GRUPA III'!Q85,'GRUPA III'!S85,'GRUPA III'!C129,'GRUPA III'!E129,'GRUPA III'!G129,'GRUPA III'!I129,'GRUPA III'!K129,'GRUPA III'!M129,'GRUPA III'!O129,'GRUPA III'!Q129,'GRUPA III'!S129,)</f>
        <v>46</v>
      </c>
      <c r="D17" s="4"/>
      <c r="E17" s="4"/>
      <c r="F17" s="4"/>
      <c r="G17" s="4"/>
      <c r="H17" s="4"/>
      <c r="I17" s="4"/>
      <c r="J17" s="4"/>
      <c r="K17" s="4"/>
    </row>
    <row r="18" customFormat="false" ht="15" hidden="false" customHeight="false" outlineLevel="0" collapsed="false">
      <c r="A18" s="4"/>
      <c r="B18" s="4"/>
      <c r="C18" s="4"/>
      <c r="D18" s="4"/>
      <c r="E18" s="4"/>
      <c r="F18" s="4"/>
      <c r="G18" s="4"/>
      <c r="H18" s="4"/>
      <c r="I18" s="4"/>
      <c r="J18" s="4"/>
      <c r="K18" s="4"/>
    </row>
  </sheetData>
  <mergeCells count="2">
    <mergeCell ref="A2:K2"/>
    <mergeCell ref="B15:C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LibreOffice/26.2.6.1$Windows_X86_64 LibreOffice_project/d1ee4fa77ef37aa4cfa80ea6fd156dcae5d60263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2021-06-15T10:49:16Z</dcterms:created>
  <dc:creator>xylo doo</dc:creator>
  <dc:description/>
  <dc:language>sr-Latn-ME</dc:language>
  <cp:lastModifiedBy/>
  <cp:lastPrinted>2021-06-15T11:52:35Z</cp:lastPrinted>
  <dcterms:modified xsi:type="dcterms:W3CDTF">2026-10-01T13:02:37Z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